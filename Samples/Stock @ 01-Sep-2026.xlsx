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tock &amp; Raw Material\Stock Jul-26 to Jun-27\"/>
    </mc:Choice>
  </mc:AlternateContent>
  <xr:revisionPtr revIDLastSave="0" documentId="8_{3B931C27-0945-4C91-855F-37684D75488B}" xr6:coauthVersionLast="47" xr6:coauthVersionMax="47" xr10:uidLastSave="{00000000-0000-0000-0000-000000000000}"/>
  <bookViews>
    <workbookView xWindow="-108" yWindow="-108" windowWidth="23256" windowHeight="12456" activeTab="1" xr2:uid="{C3D44C07-3AE8-FF4D-A027-C96D92B2B83D}"/>
  </bookViews>
  <sheets>
    <sheet name="Summary" sheetId="4" r:id="rId1"/>
    <sheet name="Dublin" sheetId="1" r:id="rId2"/>
    <sheet name="Clonmel " sheetId="3" r:id="rId3"/>
    <sheet name="Clonmel Trucks &amp; Yard" sheetId="5" r:id="rId4"/>
  </sheets>
  <externalReferences>
    <externalReference r:id="rId5"/>
  </externalReferences>
  <definedNames>
    <definedName name="_xlnm._FilterDatabase" localSheetId="2" hidden="1">'Clonmel '!$A$2:$AE$71</definedName>
    <definedName name="_xlnm._FilterDatabase" localSheetId="1" hidden="1">Dublin!$A$2:$V$84</definedName>
    <definedName name="_xlnm.Print_Area" localSheetId="1">Dublin!$A$1:$AL$84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J3" i="1"/>
  <c r="AK4" i="1"/>
  <c r="AK3" i="1"/>
  <c r="AR89" i="1"/>
  <c r="AU89" i="1"/>
  <c r="AQ89" i="1"/>
  <c r="AR104" i="1" l="1"/>
  <c r="AQ104" i="1"/>
  <c r="AS101" i="1"/>
  <c r="AQ88" i="1"/>
  <c r="AU88" i="1"/>
  <c r="AL84" i="1"/>
  <c r="AL7" i="1"/>
  <c r="AL13" i="1"/>
  <c r="AL16" i="1"/>
  <c r="AL17" i="1"/>
  <c r="AL22" i="1"/>
  <c r="AL25" i="1"/>
  <c r="AL27" i="1"/>
  <c r="AL28" i="1"/>
  <c r="AL30" i="1"/>
  <c r="AL31" i="1"/>
  <c r="AL32" i="1"/>
  <c r="AL34" i="1"/>
  <c r="AL35" i="1"/>
  <c r="AL39" i="1"/>
  <c r="AL40" i="1"/>
  <c r="AL49" i="1"/>
  <c r="AL51" i="1"/>
  <c r="AL52" i="1"/>
  <c r="AL53" i="1"/>
  <c r="AL54" i="1"/>
  <c r="AL59" i="1"/>
  <c r="AL60" i="1"/>
  <c r="AL63" i="1"/>
  <c r="AL64" i="1"/>
  <c r="AL65" i="1"/>
  <c r="AL67" i="1"/>
  <c r="AL68" i="1"/>
  <c r="AL69" i="1"/>
  <c r="AL73" i="1"/>
  <c r="AL74" i="1"/>
  <c r="AL75" i="1"/>
  <c r="AL79" i="1"/>
  <c r="AL80" i="1"/>
  <c r="AL82" i="1"/>
  <c r="AJ5" i="1"/>
  <c r="AL86" i="1" l="1"/>
  <c r="E43" i="5"/>
  <c r="AH15" i="3"/>
  <c r="AH25" i="3"/>
  <c r="AH24" i="3"/>
  <c r="M20" i="5"/>
  <c r="AH6" i="3" l="1"/>
  <c r="K37" i="5"/>
  <c r="K36" i="5"/>
  <c r="K35" i="5"/>
  <c r="K34" i="5"/>
  <c r="K33" i="5"/>
  <c r="K32" i="5"/>
  <c r="K31" i="5"/>
  <c r="K30" i="5"/>
  <c r="K29" i="5"/>
  <c r="K28" i="5"/>
  <c r="K27" i="5"/>
  <c r="K26" i="5"/>
  <c r="K38" i="5" s="1"/>
  <c r="L3" i="5" s="1"/>
  <c r="H37" i="5"/>
  <c r="H36" i="5"/>
  <c r="H35" i="5"/>
  <c r="H34" i="5"/>
  <c r="H33" i="5"/>
  <c r="H32" i="5"/>
  <c r="H31" i="5"/>
  <c r="H30" i="5"/>
  <c r="H29" i="5"/>
  <c r="H28" i="5"/>
  <c r="H27" i="5"/>
  <c r="H26" i="5"/>
  <c r="E37" i="5"/>
  <c r="E36" i="5"/>
  <c r="E35" i="5"/>
  <c r="E34" i="5"/>
  <c r="E33" i="5"/>
  <c r="E32" i="5"/>
  <c r="E31" i="5"/>
  <c r="E30" i="5"/>
  <c r="E29" i="5"/>
  <c r="E28" i="5"/>
  <c r="E27" i="5"/>
  <c r="E26" i="5"/>
  <c r="M19" i="5"/>
  <c r="AH10" i="3" s="1"/>
  <c r="M18" i="5"/>
  <c r="AH9" i="3" s="1"/>
  <c r="M17" i="5"/>
  <c r="M16" i="5"/>
  <c r="M15" i="5"/>
  <c r="M14" i="5"/>
  <c r="C3" i="5" s="1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AI44" i="3" l="1"/>
  <c r="AI17" i="3"/>
  <c r="AI43" i="3"/>
  <c r="AI39" i="3"/>
  <c r="AI24" i="3"/>
  <c r="AI15" i="3"/>
  <c r="AI9" i="3"/>
  <c r="AI5" i="3"/>
  <c r="AI7" i="3"/>
  <c r="AI8" i="3"/>
  <c r="AI11" i="3"/>
  <c r="AI12" i="3"/>
  <c r="AI13" i="3"/>
  <c r="AI14" i="3"/>
  <c r="AI16" i="3"/>
  <c r="AI18" i="3"/>
  <c r="AI22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40" i="3"/>
  <c r="AI41" i="3"/>
  <c r="AI42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M3" i="5"/>
  <c r="G3" i="5"/>
  <c r="AI25" i="3"/>
  <c r="AI10" i="3"/>
  <c r="AI6" i="3"/>
  <c r="D41" i="5"/>
  <c r="E41" i="5" s="1"/>
  <c r="G41" i="5" s="1"/>
  <c r="D42" i="5"/>
  <c r="E42" i="5" s="1"/>
  <c r="G42" i="5" s="1"/>
  <c r="E23" i="5"/>
  <c r="E3" i="5" s="1"/>
  <c r="G54" i="3"/>
  <c r="O54" i="3"/>
  <c r="R82" i="1"/>
  <c r="V82" i="1"/>
  <c r="Z82" i="1"/>
  <c r="AB82" i="1"/>
  <c r="AF82" i="1"/>
  <c r="AH82" i="1"/>
  <c r="AJ82" i="1"/>
  <c r="AJ12" i="1"/>
  <c r="AJ8" i="1"/>
  <c r="AJ9" i="1"/>
  <c r="AJ10" i="1"/>
  <c r="AJ11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3" i="1"/>
  <c r="AJ84" i="1"/>
  <c r="AJ7" i="1"/>
  <c r="AH7" i="1"/>
  <c r="AJ6" i="1"/>
  <c r="AH49" i="1"/>
  <c r="AH21" i="1"/>
  <c r="AH75" i="1"/>
  <c r="H23" i="5" l="1"/>
  <c r="I3" i="5" s="1"/>
  <c r="AG80" i="1"/>
  <c r="AG74" i="1"/>
  <c r="AG73" i="1"/>
  <c r="AG72" i="1"/>
  <c r="AG22" i="1"/>
  <c r="AG16" i="1"/>
  <c r="AE75" i="3" l="1"/>
  <c r="AH75" i="3" s="1"/>
  <c r="AI75" i="3" s="1"/>
  <c r="AE70" i="3"/>
  <c r="AQ101" i="1"/>
  <c r="AE69" i="3"/>
  <c r="AE68" i="3"/>
  <c r="AE67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22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5" i="3"/>
  <c r="AE46" i="3"/>
  <c r="AE47" i="3"/>
  <c r="AE48" i="3"/>
  <c r="AE49" i="3"/>
  <c r="AE50" i="3"/>
  <c r="AE51" i="3"/>
  <c r="AE52" i="3"/>
  <c r="AE53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76" i="3"/>
  <c r="AH76" i="3" s="1"/>
  <c r="AI76" i="3" s="1"/>
  <c r="AE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22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5" i="3"/>
  <c r="AC46" i="3"/>
  <c r="AC47" i="3"/>
  <c r="AC48" i="3"/>
  <c r="AC49" i="3"/>
  <c r="AC50" i="3"/>
  <c r="AC51" i="3"/>
  <c r="AC52" i="3"/>
  <c r="AC53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3" i="3"/>
  <c r="AH5" i="1"/>
  <c r="AH6" i="1"/>
  <c r="AH8" i="1"/>
  <c r="AH9" i="1"/>
  <c r="AH10" i="1"/>
  <c r="AH11" i="1"/>
  <c r="AH12" i="1"/>
  <c r="AH14" i="1"/>
  <c r="AH15" i="1"/>
  <c r="AH16" i="1"/>
  <c r="AH17" i="1"/>
  <c r="AH18" i="1"/>
  <c r="AH19" i="1"/>
  <c r="AH20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50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6" i="1"/>
  <c r="AH77" i="1"/>
  <c r="AH78" i="1"/>
  <c r="AH79" i="1"/>
  <c r="AH80" i="1"/>
  <c r="AH81" i="1"/>
  <c r="AH83" i="1"/>
  <c r="AH84" i="1"/>
  <c r="AF5" i="1"/>
  <c r="AF6" i="1"/>
  <c r="AF7" i="1"/>
  <c r="AF8" i="1"/>
  <c r="AA72" i="3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3" i="1"/>
  <c r="AF84" i="1"/>
  <c r="AZ89" i="1"/>
  <c r="AZ88" i="1"/>
  <c r="AD5" i="1"/>
  <c r="AD6" i="1"/>
  <c r="AD7" i="1"/>
  <c r="AD8" i="1"/>
  <c r="AD9" i="1"/>
  <c r="AD10" i="1"/>
  <c r="AD11" i="1"/>
  <c r="AD12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3" i="1"/>
  <c r="AD84" i="1"/>
  <c r="AS88" i="1"/>
  <c r="AW88" i="1"/>
  <c r="AQ94" i="1"/>
  <c r="AS94" i="1"/>
  <c r="AQ95" i="1"/>
  <c r="AS95" i="1"/>
  <c r="AQ96" i="1"/>
  <c r="AS96" i="1"/>
  <c r="AQ102" i="1"/>
  <c r="AS102" i="1"/>
  <c r="AQ103" i="1"/>
  <c r="AS103" i="1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22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5" i="3"/>
  <c r="Y46" i="3"/>
  <c r="Y47" i="3"/>
  <c r="Y48" i="3"/>
  <c r="Y49" i="3"/>
  <c r="Y50" i="3"/>
  <c r="Y51" i="3"/>
  <c r="Y52" i="3"/>
  <c r="Y53" i="3"/>
  <c r="Y55" i="3"/>
  <c r="Y56" i="3"/>
  <c r="Y57" i="3"/>
  <c r="Y58" i="3"/>
  <c r="Y59" i="3"/>
  <c r="Y60" i="3"/>
  <c r="Y61" i="3"/>
  <c r="Y62" i="3"/>
  <c r="Y63" i="3"/>
  <c r="Y64" i="3"/>
  <c r="Y65" i="3"/>
  <c r="Y66" i="3"/>
  <c r="Y3" i="3"/>
  <c r="H38" i="5" l="1"/>
  <c r="H3" i="5" s="1"/>
  <c r="E38" i="5"/>
  <c r="D3" i="5" s="1"/>
  <c r="AZ90" i="1"/>
  <c r="AQ97" i="1"/>
  <c r="AS97" i="1"/>
  <c r="AV89" i="1" s="1"/>
  <c r="AS104" i="1"/>
  <c r="AS89" i="1" l="1"/>
  <c r="AS90" i="1" s="1"/>
  <c r="AI3" i="1" s="1"/>
  <c r="F3" i="5"/>
  <c r="J3" i="5"/>
  <c r="AD13" i="1"/>
  <c r="AH13" i="1"/>
  <c r="AF3" i="1"/>
  <c r="AD3" i="1"/>
  <c r="AW89" i="1"/>
  <c r="AW90" i="1" s="1"/>
  <c r="W72" i="3"/>
  <c r="AB5" i="1"/>
  <c r="AB6" i="1"/>
  <c r="AB7" i="1"/>
  <c r="AB8" i="1"/>
  <c r="AB9" i="1"/>
  <c r="AB10" i="1"/>
  <c r="AB11" i="1"/>
  <c r="AB12" i="1"/>
  <c r="AB47" i="1"/>
  <c r="AB13" i="1"/>
  <c r="AB14" i="1"/>
  <c r="AB15" i="1"/>
  <c r="AB16" i="1"/>
  <c r="AB17" i="1"/>
  <c r="AB19" i="1"/>
  <c r="AB20" i="1"/>
  <c r="AB21" i="1"/>
  <c r="AB22" i="1"/>
  <c r="AB23" i="1"/>
  <c r="AB24" i="1"/>
  <c r="AB25" i="1"/>
  <c r="AB26" i="1"/>
  <c r="AB27" i="1"/>
  <c r="AB28" i="1"/>
  <c r="AB30" i="1"/>
  <c r="AB31" i="1"/>
  <c r="AB32" i="1"/>
  <c r="AB33" i="1"/>
  <c r="AB34" i="1"/>
  <c r="AB35" i="1"/>
  <c r="AB36" i="1"/>
  <c r="AB37" i="1"/>
  <c r="AB38" i="1"/>
  <c r="AB39" i="1"/>
  <c r="AB40" i="1"/>
  <c r="AB43" i="1"/>
  <c r="AB48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5" i="1"/>
  <c r="AB66" i="1"/>
  <c r="AB67" i="1"/>
  <c r="AB68" i="1"/>
  <c r="AB69" i="1"/>
  <c r="AB70" i="1"/>
  <c r="AB71" i="1"/>
  <c r="AB72" i="1"/>
  <c r="AB73" i="1"/>
  <c r="AB74" i="1"/>
  <c r="AB64" i="1"/>
  <c r="AB75" i="1"/>
  <c r="AB76" i="1"/>
  <c r="AB77" i="1"/>
  <c r="AB78" i="1"/>
  <c r="AB79" i="1"/>
  <c r="AB80" i="1"/>
  <c r="AB81" i="1"/>
  <c r="AB83" i="1"/>
  <c r="AB84" i="1"/>
  <c r="AB41" i="1"/>
  <c r="AB42" i="1"/>
  <c r="Z3" i="1"/>
  <c r="Z64" i="1"/>
  <c r="Y16" i="1"/>
  <c r="Z40" i="1"/>
  <c r="Z43" i="1"/>
  <c r="Z39" i="1"/>
  <c r="Z38" i="1"/>
  <c r="P38" i="1"/>
  <c r="R38" i="1"/>
  <c r="V38" i="1"/>
  <c r="Y37" i="1"/>
  <c r="Z37" i="1" s="1"/>
  <c r="P37" i="1"/>
  <c r="R37" i="1"/>
  <c r="V37" i="1"/>
  <c r="Y36" i="1"/>
  <c r="Z36" i="1" s="1"/>
  <c r="P36" i="1"/>
  <c r="R36" i="1"/>
  <c r="V36" i="1"/>
  <c r="Y35" i="1"/>
  <c r="Z35" i="1" s="1"/>
  <c r="P35" i="1"/>
  <c r="R35" i="1"/>
  <c r="V35" i="1"/>
  <c r="AG4" i="1" l="1"/>
  <c r="AH4" i="1" s="1"/>
  <c r="AI4" i="1"/>
  <c r="AJ4" i="1" s="1"/>
  <c r="AG3" i="1"/>
  <c r="AH3" i="1" s="1"/>
  <c r="AH86" i="1" s="1"/>
  <c r="AH4" i="3"/>
  <c r="AI4" i="3" s="1"/>
  <c r="AH3" i="3"/>
  <c r="AI3" i="3" s="1"/>
  <c r="AD4" i="1"/>
  <c r="AD86" i="1" s="1"/>
  <c r="AF4" i="1"/>
  <c r="AF86" i="1" s="1"/>
  <c r="Z74" i="1"/>
  <c r="Y73" i="1"/>
  <c r="Z73" i="1" s="1"/>
  <c r="Y60" i="1"/>
  <c r="Z60" i="1" s="1"/>
  <c r="Y23" i="1"/>
  <c r="Z23" i="1" s="1"/>
  <c r="Z42" i="1"/>
  <c r="Z4" i="1"/>
  <c r="Z5" i="1"/>
  <c r="Z6" i="1"/>
  <c r="Z7" i="1"/>
  <c r="Z8" i="1"/>
  <c r="Z9" i="1"/>
  <c r="Z10" i="1"/>
  <c r="Z11" i="1"/>
  <c r="Z12" i="1"/>
  <c r="Z47" i="1"/>
  <c r="Z13" i="1"/>
  <c r="Z14" i="1"/>
  <c r="Z15" i="1"/>
  <c r="Z16" i="1"/>
  <c r="Z17" i="1"/>
  <c r="Z19" i="1"/>
  <c r="Z20" i="1"/>
  <c r="Z21" i="1"/>
  <c r="Z22" i="1"/>
  <c r="Z24" i="1"/>
  <c r="Z25" i="1"/>
  <c r="Z26" i="1"/>
  <c r="Z27" i="1"/>
  <c r="Z28" i="1"/>
  <c r="Z30" i="1"/>
  <c r="Z31" i="1"/>
  <c r="Z32" i="1"/>
  <c r="Z33" i="1"/>
  <c r="Z48" i="1"/>
  <c r="Z50" i="1"/>
  <c r="Z51" i="1"/>
  <c r="Z52" i="1"/>
  <c r="Z53" i="1"/>
  <c r="Z54" i="1"/>
  <c r="Z55" i="1"/>
  <c r="Z56" i="1"/>
  <c r="Z57" i="1"/>
  <c r="Z58" i="1"/>
  <c r="Z59" i="1"/>
  <c r="Z61" i="1"/>
  <c r="Z65" i="1"/>
  <c r="Z66" i="1"/>
  <c r="Z67" i="1"/>
  <c r="Z68" i="1"/>
  <c r="Z69" i="1"/>
  <c r="Z70" i="1"/>
  <c r="Z71" i="1"/>
  <c r="Z72" i="1"/>
  <c r="Z75" i="1"/>
  <c r="Z76" i="1"/>
  <c r="Z77" i="1"/>
  <c r="Z78" i="1"/>
  <c r="Z79" i="1"/>
  <c r="Z80" i="1"/>
  <c r="Z34" i="1"/>
  <c r="Z81" i="1"/>
  <c r="Z83" i="1"/>
  <c r="Z84" i="1"/>
  <c r="Z41" i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22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5" i="3"/>
  <c r="U46" i="3"/>
  <c r="U47" i="3"/>
  <c r="U48" i="3"/>
  <c r="U49" i="3"/>
  <c r="U50" i="3"/>
  <c r="U51" i="3"/>
  <c r="U52" i="3"/>
  <c r="U53" i="3"/>
  <c r="U55" i="3"/>
  <c r="U56" i="3"/>
  <c r="U57" i="3"/>
  <c r="U58" i="3"/>
  <c r="U59" i="3"/>
  <c r="U61" i="3"/>
  <c r="U62" i="3"/>
  <c r="U63" i="3"/>
  <c r="U64" i="3"/>
  <c r="U65" i="3"/>
  <c r="U66" i="3"/>
  <c r="U3" i="3"/>
  <c r="V24" i="1"/>
  <c r="T24" i="1"/>
  <c r="Q24" i="1"/>
  <c r="R24" i="1" s="1"/>
  <c r="P24" i="1"/>
  <c r="N24" i="1"/>
  <c r="L24" i="1"/>
  <c r="J24" i="1"/>
  <c r="H24" i="1"/>
  <c r="V22" i="1"/>
  <c r="T22" i="1"/>
  <c r="Q22" i="1"/>
  <c r="R22" i="1" s="1"/>
  <c r="P22" i="1"/>
  <c r="N22" i="1"/>
  <c r="L22" i="1"/>
  <c r="J22" i="1"/>
  <c r="H22" i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22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5" i="3"/>
  <c r="S46" i="3"/>
  <c r="S47" i="3"/>
  <c r="S48" i="3"/>
  <c r="S49" i="3"/>
  <c r="S50" i="3"/>
  <c r="S51" i="3"/>
  <c r="S52" i="3"/>
  <c r="S53" i="3"/>
  <c r="S55" i="3"/>
  <c r="S56" i="3"/>
  <c r="S57" i="3"/>
  <c r="S58" i="3"/>
  <c r="S59" i="3"/>
  <c r="S61" i="3"/>
  <c r="S62" i="3"/>
  <c r="S63" i="3"/>
  <c r="S64" i="3"/>
  <c r="S66" i="3"/>
  <c r="S3" i="3"/>
  <c r="V5" i="1"/>
  <c r="V6" i="1"/>
  <c r="V7" i="1"/>
  <c r="V8" i="1"/>
  <c r="V9" i="1"/>
  <c r="V10" i="1"/>
  <c r="V11" i="1"/>
  <c r="V12" i="1"/>
  <c r="V47" i="1"/>
  <c r="V14" i="1"/>
  <c r="V15" i="1"/>
  <c r="V16" i="1"/>
  <c r="V17" i="1"/>
  <c r="V19" i="1"/>
  <c r="V20" i="1"/>
  <c r="V21" i="1"/>
  <c r="V23" i="1"/>
  <c r="V25" i="1"/>
  <c r="V26" i="1"/>
  <c r="V27" i="1"/>
  <c r="V28" i="1"/>
  <c r="V30" i="1"/>
  <c r="V31" i="1"/>
  <c r="V32" i="1"/>
  <c r="V33" i="1"/>
  <c r="V48" i="1"/>
  <c r="V50" i="1"/>
  <c r="V51" i="1"/>
  <c r="V52" i="1"/>
  <c r="V53" i="1"/>
  <c r="V54" i="1"/>
  <c r="V55" i="1"/>
  <c r="V56" i="1"/>
  <c r="V57" i="1"/>
  <c r="V58" i="1"/>
  <c r="V59" i="1"/>
  <c r="V60" i="1"/>
  <c r="V61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34" i="1"/>
  <c r="V81" i="1"/>
  <c r="V83" i="1"/>
  <c r="V84" i="1"/>
  <c r="V41" i="1"/>
  <c r="V42" i="1"/>
  <c r="AJ86" i="1" l="1"/>
  <c r="Z86" i="1"/>
  <c r="Q72" i="3"/>
  <c r="T42" i="1"/>
  <c r="T41" i="1"/>
  <c r="T84" i="1"/>
  <c r="T83" i="1"/>
  <c r="T81" i="1"/>
  <c r="T34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1" i="1"/>
  <c r="T60" i="1"/>
  <c r="T59" i="1"/>
  <c r="T58" i="1"/>
  <c r="T57" i="1"/>
  <c r="T56" i="1"/>
  <c r="T55" i="1"/>
  <c r="T54" i="1"/>
  <c r="T53" i="1"/>
  <c r="T52" i="1"/>
  <c r="T51" i="1"/>
  <c r="T50" i="1"/>
  <c r="T48" i="1"/>
  <c r="T33" i="1"/>
  <c r="T32" i="1"/>
  <c r="T31" i="1"/>
  <c r="T30" i="1"/>
  <c r="T28" i="1"/>
  <c r="T27" i="1"/>
  <c r="T26" i="1"/>
  <c r="T25" i="1"/>
  <c r="T23" i="1"/>
  <c r="T21" i="1"/>
  <c r="T20" i="1"/>
  <c r="T19" i="1"/>
  <c r="T17" i="1"/>
  <c r="T16" i="1"/>
  <c r="T15" i="1"/>
  <c r="T14" i="1"/>
  <c r="T13" i="1"/>
  <c r="T47" i="1"/>
  <c r="T12" i="1"/>
  <c r="T11" i="1"/>
  <c r="T10" i="1"/>
  <c r="T9" i="1"/>
  <c r="T8" i="1"/>
  <c r="T7" i="1"/>
  <c r="T6" i="1"/>
  <c r="T5" i="1"/>
  <c r="T4" i="1"/>
  <c r="T3" i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2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5" i="3"/>
  <c r="O46" i="3"/>
  <c r="O47" i="3"/>
  <c r="O48" i="3"/>
  <c r="O49" i="3"/>
  <c r="O50" i="3"/>
  <c r="O51" i="3"/>
  <c r="O52" i="3"/>
  <c r="O53" i="3"/>
  <c r="O55" i="3"/>
  <c r="O56" i="3"/>
  <c r="O57" i="3"/>
  <c r="O58" i="3"/>
  <c r="O59" i="3"/>
  <c r="O61" i="3"/>
  <c r="O62" i="3"/>
  <c r="O63" i="3"/>
  <c r="O64" i="3"/>
  <c r="O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22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5" i="3"/>
  <c r="M46" i="3"/>
  <c r="M47" i="3"/>
  <c r="M48" i="3"/>
  <c r="M49" i="3"/>
  <c r="M50" i="3"/>
  <c r="M51" i="3"/>
  <c r="M52" i="3"/>
  <c r="M53" i="3"/>
  <c r="M55" i="3"/>
  <c r="M56" i="3"/>
  <c r="M57" i="3"/>
  <c r="M58" i="3"/>
  <c r="M59" i="3"/>
  <c r="M61" i="3"/>
  <c r="M62" i="3"/>
  <c r="M63" i="3"/>
  <c r="M64" i="3"/>
  <c r="M3" i="3"/>
  <c r="Q74" i="1"/>
  <c r="R74" i="1" s="1"/>
  <c r="Q73" i="1"/>
  <c r="R73" i="1" s="1"/>
  <c r="Q75" i="1"/>
  <c r="R75" i="1" s="1"/>
  <c r="Q79" i="1"/>
  <c r="R79" i="1" s="1"/>
  <c r="R54" i="1"/>
  <c r="Q16" i="1"/>
  <c r="R16" i="1" s="1"/>
  <c r="Q27" i="1"/>
  <c r="R27" i="1" s="1"/>
  <c r="Q23" i="1"/>
  <c r="R23" i="1" s="1"/>
  <c r="Q21" i="1"/>
  <c r="R21" i="1" s="1"/>
  <c r="R19" i="1"/>
  <c r="R28" i="1"/>
  <c r="R5" i="1"/>
  <c r="R6" i="1"/>
  <c r="R7" i="1"/>
  <c r="R8" i="1"/>
  <c r="R9" i="1"/>
  <c r="R10" i="1"/>
  <c r="R11" i="1"/>
  <c r="R12" i="1"/>
  <c r="R47" i="1"/>
  <c r="R14" i="1"/>
  <c r="R15" i="1"/>
  <c r="R17" i="1"/>
  <c r="R20" i="1"/>
  <c r="R25" i="1"/>
  <c r="R26" i="1"/>
  <c r="R30" i="1"/>
  <c r="R31" i="1"/>
  <c r="R32" i="1"/>
  <c r="R33" i="1"/>
  <c r="R50" i="1"/>
  <c r="R51" i="1"/>
  <c r="R52" i="1"/>
  <c r="R53" i="1"/>
  <c r="R55" i="1"/>
  <c r="R56" i="1"/>
  <c r="R57" i="1"/>
  <c r="R58" i="1"/>
  <c r="R59" i="1"/>
  <c r="R60" i="1"/>
  <c r="R61" i="1"/>
  <c r="R65" i="1"/>
  <c r="R66" i="1"/>
  <c r="R67" i="1"/>
  <c r="R68" i="1"/>
  <c r="R69" i="1"/>
  <c r="R70" i="1"/>
  <c r="R71" i="1"/>
  <c r="R72" i="1"/>
  <c r="R76" i="1"/>
  <c r="R77" i="1"/>
  <c r="R78" i="1"/>
  <c r="R80" i="1"/>
  <c r="R34" i="1"/>
  <c r="R81" i="1"/>
  <c r="R83" i="1"/>
  <c r="R84" i="1"/>
  <c r="R41" i="1"/>
  <c r="R42" i="1"/>
  <c r="E5" i="4"/>
  <c r="P42" i="1"/>
  <c r="N42" i="1"/>
  <c r="L42" i="1"/>
  <c r="J42" i="1"/>
  <c r="H42" i="1"/>
  <c r="P41" i="1"/>
  <c r="N41" i="1"/>
  <c r="L41" i="1"/>
  <c r="J41" i="1"/>
  <c r="H41" i="1"/>
  <c r="G49" i="3"/>
  <c r="K49" i="3"/>
  <c r="T86" i="1" l="1"/>
  <c r="B4" i="4" s="1"/>
  <c r="B12" i="4" s="1"/>
  <c r="B18" i="4" s="1"/>
  <c r="E14" i="4"/>
  <c r="E20" i="4"/>
  <c r="D16" i="4" s="1"/>
  <c r="I72" i="3"/>
  <c r="P12" i="1"/>
  <c r="P47" i="1"/>
  <c r="P13" i="1"/>
  <c r="P14" i="1"/>
  <c r="P4" i="1"/>
  <c r="P5" i="1"/>
  <c r="P6" i="1"/>
  <c r="P7" i="1"/>
  <c r="P8" i="1"/>
  <c r="P9" i="1"/>
  <c r="P10" i="1"/>
  <c r="P11" i="1"/>
  <c r="P15" i="1"/>
  <c r="P16" i="1"/>
  <c r="P17" i="1"/>
  <c r="P20" i="1"/>
  <c r="P21" i="1"/>
  <c r="P23" i="1"/>
  <c r="P25" i="1"/>
  <c r="P26" i="1"/>
  <c r="P27" i="1"/>
  <c r="P30" i="1"/>
  <c r="P31" i="1"/>
  <c r="P32" i="1"/>
  <c r="P33" i="1"/>
  <c r="P50" i="1"/>
  <c r="P51" i="1"/>
  <c r="P52" i="1"/>
  <c r="P53" i="1"/>
  <c r="P55" i="1"/>
  <c r="P56" i="1"/>
  <c r="P57" i="1"/>
  <c r="P58" i="1"/>
  <c r="P59" i="1"/>
  <c r="P60" i="1"/>
  <c r="P61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34" i="1"/>
  <c r="P81" i="1"/>
  <c r="P83" i="1"/>
  <c r="P84" i="1"/>
  <c r="P3" i="1"/>
  <c r="G48" i="3"/>
  <c r="K4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22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5" i="3"/>
  <c r="K46" i="3"/>
  <c r="K47" i="3"/>
  <c r="K50" i="3"/>
  <c r="K51" i="3"/>
  <c r="K52" i="3"/>
  <c r="K53" i="3"/>
  <c r="K55" i="3"/>
  <c r="K56" i="3"/>
  <c r="K57" i="3"/>
  <c r="K58" i="3"/>
  <c r="K59" i="3"/>
  <c r="K61" i="3"/>
  <c r="K62" i="3"/>
  <c r="K63" i="3"/>
  <c r="K64" i="3"/>
  <c r="K3" i="3"/>
  <c r="N4" i="1"/>
  <c r="N5" i="1"/>
  <c r="N6" i="1"/>
  <c r="N7" i="1"/>
  <c r="N8" i="1"/>
  <c r="N9" i="1"/>
  <c r="N10" i="1"/>
  <c r="N11" i="1"/>
  <c r="N12" i="1"/>
  <c r="N47" i="1"/>
  <c r="N13" i="1"/>
  <c r="N14" i="1"/>
  <c r="N15" i="1"/>
  <c r="N16" i="1"/>
  <c r="N17" i="1"/>
  <c r="N20" i="1"/>
  <c r="N21" i="1"/>
  <c r="N23" i="1"/>
  <c r="N25" i="1"/>
  <c r="N26" i="1"/>
  <c r="N27" i="1"/>
  <c r="N30" i="1"/>
  <c r="N31" i="1"/>
  <c r="N32" i="1"/>
  <c r="N33" i="1"/>
  <c r="N50" i="1"/>
  <c r="N51" i="1"/>
  <c r="N52" i="1"/>
  <c r="N53" i="1"/>
  <c r="N55" i="1"/>
  <c r="N56" i="1"/>
  <c r="N57" i="1"/>
  <c r="N58" i="1"/>
  <c r="N59" i="1"/>
  <c r="N60" i="1"/>
  <c r="N61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34" i="1"/>
  <c r="N81" i="1"/>
  <c r="N83" i="1"/>
  <c r="N84" i="1"/>
  <c r="N3" i="1"/>
  <c r="P86" i="1" l="1"/>
  <c r="N86" i="1"/>
  <c r="G11" i="4"/>
  <c r="G12" i="4"/>
  <c r="G18" i="4" s="1"/>
  <c r="G5" i="4"/>
  <c r="L78" i="1"/>
  <c r="L47" i="1"/>
  <c r="G56" i="3"/>
  <c r="G57" i="3"/>
  <c r="G59" i="3"/>
  <c r="G61" i="3"/>
  <c r="G62" i="3"/>
  <c r="G64" i="3"/>
  <c r="G5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4" i="3"/>
  <c r="G25" i="3"/>
  <c r="G26" i="3"/>
  <c r="G27" i="3"/>
  <c r="G22" i="3"/>
  <c r="G29" i="3"/>
  <c r="G30" i="3"/>
  <c r="G33" i="3"/>
  <c r="G34" i="3"/>
  <c r="G35" i="3"/>
  <c r="G36" i="3"/>
  <c r="G37" i="3"/>
  <c r="G38" i="3"/>
  <c r="G39" i="3"/>
  <c r="G40" i="3"/>
  <c r="G41" i="3"/>
  <c r="G42" i="3"/>
  <c r="G43" i="3"/>
  <c r="G31" i="3"/>
  <c r="G32" i="3"/>
  <c r="G45" i="3"/>
  <c r="G46" i="3"/>
  <c r="G47" i="3"/>
  <c r="G50" i="3"/>
  <c r="G51" i="3"/>
  <c r="G52" i="3"/>
  <c r="G53" i="3"/>
  <c r="G55" i="3"/>
  <c r="G28" i="3"/>
  <c r="D12" i="4" l="1"/>
  <c r="H5" i="4"/>
  <c r="G7" i="4" s="1"/>
  <c r="G14" i="4"/>
  <c r="G17" i="4"/>
  <c r="G20" i="4" s="1"/>
  <c r="F16" i="4" s="1"/>
  <c r="L4" i="1"/>
  <c r="L5" i="1"/>
  <c r="L6" i="1"/>
  <c r="L7" i="1"/>
  <c r="L8" i="1"/>
  <c r="L9" i="1"/>
  <c r="L10" i="1"/>
  <c r="L13" i="1"/>
  <c r="L14" i="1"/>
  <c r="L15" i="1"/>
  <c r="L16" i="1"/>
  <c r="L17" i="1"/>
  <c r="L20" i="1"/>
  <c r="L21" i="1"/>
  <c r="L23" i="1"/>
  <c r="L25" i="1"/>
  <c r="L26" i="1"/>
  <c r="L27" i="1"/>
  <c r="L30" i="1"/>
  <c r="L31" i="1"/>
  <c r="L32" i="1"/>
  <c r="L33" i="1"/>
  <c r="L50" i="1"/>
  <c r="L51" i="1"/>
  <c r="L52" i="1"/>
  <c r="L53" i="1"/>
  <c r="L55" i="1"/>
  <c r="L56" i="1"/>
  <c r="L57" i="1"/>
  <c r="L58" i="1"/>
  <c r="L59" i="1"/>
  <c r="L60" i="1"/>
  <c r="L61" i="1"/>
  <c r="L65" i="1"/>
  <c r="L66" i="1"/>
  <c r="L67" i="1"/>
  <c r="L68" i="1"/>
  <c r="L11" i="1"/>
  <c r="L12" i="1"/>
  <c r="L69" i="1"/>
  <c r="L70" i="1"/>
  <c r="L71" i="1"/>
  <c r="L72" i="1"/>
  <c r="L73" i="1"/>
  <c r="L74" i="1"/>
  <c r="L75" i="1"/>
  <c r="L76" i="1"/>
  <c r="L77" i="1"/>
  <c r="L79" i="1"/>
  <c r="L80" i="1"/>
  <c r="L34" i="1"/>
  <c r="L81" i="1"/>
  <c r="L83" i="1"/>
  <c r="L84" i="1"/>
  <c r="L3" i="1"/>
  <c r="I27" i="1"/>
  <c r="J83" i="1"/>
  <c r="J84" i="1"/>
  <c r="J53" i="1"/>
  <c r="J81" i="1"/>
  <c r="J5" i="1"/>
  <c r="J6" i="1"/>
  <c r="J7" i="1"/>
  <c r="J8" i="1"/>
  <c r="J9" i="1"/>
  <c r="J10" i="1"/>
  <c r="J14" i="1"/>
  <c r="J15" i="1"/>
  <c r="J16" i="1"/>
  <c r="J17" i="1"/>
  <c r="J20" i="1"/>
  <c r="J21" i="1"/>
  <c r="J23" i="1"/>
  <c r="J25" i="1"/>
  <c r="J26" i="1"/>
  <c r="J30" i="1"/>
  <c r="J31" i="1"/>
  <c r="J32" i="1"/>
  <c r="J33" i="1"/>
  <c r="J50" i="1"/>
  <c r="J51" i="1"/>
  <c r="J52" i="1"/>
  <c r="J55" i="1"/>
  <c r="J56" i="1"/>
  <c r="J57" i="1"/>
  <c r="J58" i="1"/>
  <c r="J59" i="1"/>
  <c r="J60" i="1"/>
  <c r="J61" i="1"/>
  <c r="J65" i="1"/>
  <c r="J66" i="1"/>
  <c r="J67" i="1"/>
  <c r="J11" i="1"/>
  <c r="J12" i="1"/>
  <c r="J69" i="1"/>
  <c r="J70" i="1"/>
  <c r="J71" i="1"/>
  <c r="J72" i="1"/>
  <c r="J73" i="1"/>
  <c r="J74" i="1"/>
  <c r="J75" i="1"/>
  <c r="J76" i="1"/>
  <c r="J77" i="1"/>
  <c r="J79" i="1"/>
  <c r="J68" i="1"/>
  <c r="J80" i="1"/>
  <c r="J34" i="1"/>
  <c r="D18" i="4" l="1"/>
  <c r="J27" i="1"/>
  <c r="L86" i="1"/>
  <c r="G3" i="3"/>
  <c r="H4" i="1"/>
  <c r="H5" i="1"/>
  <c r="H6" i="1"/>
  <c r="H7" i="1"/>
  <c r="H8" i="1"/>
  <c r="H9" i="1"/>
  <c r="H10" i="1"/>
  <c r="H13" i="1"/>
  <c r="H14" i="1"/>
  <c r="H15" i="1"/>
  <c r="H16" i="1"/>
  <c r="H17" i="1"/>
  <c r="H20" i="1"/>
  <c r="H21" i="1"/>
  <c r="H23" i="1"/>
  <c r="H25" i="1"/>
  <c r="H26" i="1"/>
  <c r="H27" i="1"/>
  <c r="H30" i="1"/>
  <c r="H31" i="1"/>
  <c r="H32" i="1"/>
  <c r="H33" i="1"/>
  <c r="H50" i="1"/>
  <c r="H51" i="1"/>
  <c r="H52" i="1"/>
  <c r="H55" i="1"/>
  <c r="H56" i="1"/>
  <c r="H57" i="1"/>
  <c r="H58" i="1"/>
  <c r="H59" i="1"/>
  <c r="H60" i="1"/>
  <c r="H61" i="1"/>
  <c r="H65" i="1"/>
  <c r="H66" i="1"/>
  <c r="H67" i="1"/>
  <c r="H11" i="1"/>
  <c r="H12" i="1"/>
  <c r="H69" i="1"/>
  <c r="H70" i="1"/>
  <c r="H71" i="1"/>
  <c r="H72" i="1"/>
  <c r="H73" i="1"/>
  <c r="H74" i="1"/>
  <c r="H75" i="1"/>
  <c r="H76" i="1"/>
  <c r="H77" i="1"/>
  <c r="H79" i="1"/>
  <c r="H68" i="1"/>
  <c r="H80" i="1"/>
  <c r="H34" i="1"/>
  <c r="H81" i="1"/>
  <c r="H83" i="1"/>
  <c r="H84" i="1"/>
  <c r="H3" i="1"/>
  <c r="L20" i="4"/>
  <c r="AB3" i="1" l="1"/>
  <c r="F12" i="4"/>
  <c r="H86" i="1"/>
  <c r="H12" i="4"/>
  <c r="H18" i="4" s="1"/>
  <c r="Q13" i="1" l="1"/>
  <c r="R13" i="1" s="1"/>
  <c r="U13" i="1"/>
  <c r="F18" i="4"/>
  <c r="J4" i="1"/>
  <c r="J13" i="1"/>
  <c r="I12" i="4"/>
  <c r="I18" i="4" s="1"/>
  <c r="J12" i="4"/>
  <c r="J18" i="4" s="1"/>
  <c r="R3" i="1" l="1"/>
  <c r="V3" i="1"/>
  <c r="V13" i="1"/>
  <c r="J3" i="1"/>
  <c r="J86" i="1" s="1"/>
  <c r="K12" i="4"/>
  <c r="K18" i="4" s="1"/>
  <c r="E21" i="3"/>
  <c r="AI21" i="3" s="1"/>
  <c r="E19" i="3"/>
  <c r="AI19" i="3" s="1"/>
  <c r="E20" i="3"/>
  <c r="AI20" i="3" s="1"/>
  <c r="Y20" i="3" l="1"/>
  <c r="AC20" i="3"/>
  <c r="AE20" i="3"/>
  <c r="Y19" i="3"/>
  <c r="AC19" i="3"/>
  <c r="AE19" i="3"/>
  <c r="Y21" i="3"/>
  <c r="AE21" i="3"/>
  <c r="AC21" i="3"/>
  <c r="U20" i="3"/>
  <c r="U19" i="3"/>
  <c r="U21" i="3"/>
  <c r="X86" i="1"/>
  <c r="AB4" i="1"/>
  <c r="AB86" i="1" s="1"/>
  <c r="R4" i="1"/>
  <c r="R86" i="1" s="1"/>
  <c r="V4" i="1"/>
  <c r="V86" i="1" s="1"/>
  <c r="S19" i="3"/>
  <c r="S20" i="3"/>
  <c r="S21" i="3"/>
  <c r="O20" i="3"/>
  <c r="O19" i="3"/>
  <c r="O21" i="3"/>
  <c r="K20" i="3"/>
  <c r="M20" i="3"/>
  <c r="K19" i="3"/>
  <c r="M19" i="3"/>
  <c r="K21" i="3"/>
  <c r="M21" i="3"/>
  <c r="C5" i="4"/>
  <c r="C12" i="4"/>
  <c r="C18" i="4" s="1"/>
  <c r="G21" i="3"/>
  <c r="G20" i="3"/>
  <c r="G19" i="3"/>
  <c r="L5" i="4" l="1"/>
  <c r="K5" i="4"/>
  <c r="M5" i="4"/>
  <c r="Q5" i="4"/>
  <c r="P12" i="4"/>
  <c r="P18" i="4" s="1"/>
  <c r="K11" i="4" l="1"/>
  <c r="J5" i="4"/>
  <c r="K7" i="4"/>
  <c r="J11" i="4"/>
  <c r="J17" i="4" s="1"/>
  <c r="J20" i="4" s="1"/>
  <c r="I16" i="4" s="1"/>
  <c r="J14" i="4" l="1"/>
  <c r="J7" i="4"/>
  <c r="K14" i="4"/>
  <c r="K17" i="4"/>
  <c r="K20" i="4" s="1"/>
  <c r="K22" i="4" s="1"/>
  <c r="Q12" i="4"/>
  <c r="R12" i="4"/>
  <c r="R18" i="4" s="1"/>
  <c r="U5" i="4"/>
  <c r="E23" i="3"/>
  <c r="AF5" i="4"/>
  <c r="AG5" i="4"/>
  <c r="AH5" i="4"/>
  <c r="AI5" i="4"/>
  <c r="AJ5" i="4"/>
  <c r="AT5" i="4"/>
  <c r="AS5" i="4"/>
  <c r="AR5" i="4"/>
  <c r="AO5" i="4"/>
  <c r="AN5" i="4"/>
  <c r="AM5" i="4"/>
  <c r="AL5" i="4"/>
  <c r="AI23" i="3" l="1"/>
  <c r="AG72" i="3" s="1"/>
  <c r="AG74" i="3" s="1"/>
  <c r="Y23" i="3"/>
  <c r="Y72" i="3" s="1"/>
  <c r="AE23" i="3"/>
  <c r="AE72" i="3" s="1"/>
  <c r="AC23" i="3"/>
  <c r="AC72" i="3" s="1"/>
  <c r="U23" i="3"/>
  <c r="U72" i="3" s="1"/>
  <c r="S23" i="3"/>
  <c r="S72" i="3" s="1"/>
  <c r="O23" i="3"/>
  <c r="O72" i="3" s="1"/>
  <c r="K23" i="3"/>
  <c r="K72" i="3" s="1"/>
  <c r="M23" i="3"/>
  <c r="M72" i="3" s="1"/>
  <c r="G23" i="3"/>
  <c r="G72" i="3" s="1"/>
  <c r="N5" i="4"/>
  <c r="C9" i="4" s="1"/>
  <c r="Q11" i="4"/>
  <c r="AG7" i="4"/>
  <c r="AI7" i="4"/>
  <c r="AH7" i="4"/>
  <c r="AF7" i="4"/>
  <c r="AK3" i="4"/>
  <c r="AK5" i="4" s="1"/>
  <c r="AK7" i="4" s="1"/>
  <c r="X5" i="4"/>
  <c r="Z5" i="4"/>
  <c r="AP4" i="4"/>
  <c r="AP5" i="4" s="1"/>
  <c r="AD5" i="4"/>
  <c r="AI72" i="3" l="1"/>
  <c r="D11" i="4"/>
  <c r="C11" i="4"/>
  <c r="D5" i="4"/>
  <c r="F11" i="4"/>
  <c r="F5" i="4"/>
  <c r="F7" i="4" s="1"/>
  <c r="I5" i="4"/>
  <c r="H7" i="4" s="1"/>
  <c r="H11" i="4"/>
  <c r="I11" i="4"/>
  <c r="I17" i="4" s="1"/>
  <c r="I20" i="4" s="1"/>
  <c r="H16" i="4" s="1"/>
  <c r="I7" i="4"/>
  <c r="I9" i="4"/>
  <c r="O5" i="4"/>
  <c r="R5" i="4"/>
  <c r="AC5" i="4"/>
  <c r="AC7" i="4" s="1"/>
  <c r="T5" i="4"/>
  <c r="AA5" i="4"/>
  <c r="Y5" i="4"/>
  <c r="AE5" i="4"/>
  <c r="AE7" i="4" s="1"/>
  <c r="AB5" i="4"/>
  <c r="AJ7" i="4"/>
  <c r="C17" i="4" l="1"/>
  <c r="C14" i="4"/>
  <c r="D7" i="4"/>
  <c r="C7" i="4"/>
  <c r="D17" i="4"/>
  <c r="D20" i="4" s="1"/>
  <c r="C16" i="4" s="1"/>
  <c r="D14" i="4"/>
  <c r="F17" i="4"/>
  <c r="F20" i="4" s="1"/>
  <c r="F14" i="4"/>
  <c r="I14" i="4"/>
  <c r="H14" i="4"/>
  <c r="H17" i="4"/>
  <c r="H20" i="4" s="1"/>
  <c r="T7" i="4"/>
  <c r="H9" i="4"/>
  <c r="R9" i="4"/>
  <c r="F9" i="4"/>
  <c r="X7" i="4"/>
  <c r="Z7" i="4"/>
  <c r="Q17" i="4"/>
  <c r="P11" i="4"/>
  <c r="P5" i="4"/>
  <c r="D9" i="4" s="1"/>
  <c r="Q14" i="4"/>
  <c r="Q18" i="4"/>
  <c r="W5" i="4"/>
  <c r="V5" i="4"/>
  <c r="J9" i="4" s="1"/>
  <c r="Y7" i="4"/>
  <c r="AD7" i="4"/>
  <c r="AB7" i="4"/>
  <c r="AA7" i="4"/>
  <c r="C20" i="4" l="1"/>
  <c r="B16" i="4" s="1"/>
  <c r="W7" i="4"/>
  <c r="K9" i="4"/>
  <c r="Q20" i="4"/>
  <c r="P7" i="4"/>
  <c r="P9" i="4"/>
  <c r="P17" i="4"/>
  <c r="P20" i="4" s="1"/>
  <c r="P14" i="4"/>
  <c r="Q7" i="4"/>
  <c r="Q9" i="4"/>
  <c r="V7" i="4"/>
  <c r="U7" i="4"/>
  <c r="S5" i="4" l="1"/>
  <c r="R11" i="4"/>
  <c r="R14" i="4" s="1"/>
  <c r="S9" i="4" l="1"/>
  <c r="G9" i="4"/>
  <c r="S7" i="4"/>
  <c r="R7" i="4"/>
  <c r="R17" i="4"/>
  <c r="R20" i="4" s="1"/>
  <c r="B3" i="4" l="1"/>
  <c r="B11" i="4" s="1"/>
  <c r="B17" i="4" l="1"/>
  <c r="B20" i="4" s="1"/>
  <c r="B14" i="4"/>
  <c r="B5" i="4"/>
  <c r="B9" i="4" l="1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tc={19BC14C5-4526-40D2-82AE-FC02798904C2}</author>
  </authors>
  <commentList>
    <comment ref="A11" authorId="0" shapeId="0" xr:uid="{19BC14C5-4526-40D2-82AE-FC02798904C2}">
      <text>
        <t>[Threaded comment]
Your version of Excel allows you to read this threaded comment; however, any edits to it will get removed if the file is opened in a newer version of Excel. Learn more: https://go.microsoft.com/fwlink/?linkid=870924
Comment:
    Chk with Maceij what this is for?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</author>
    <author>tc={2A629F2F-D6AA-407B-ADF9-C747A8EB4D87}</author>
    <author>tc={48819693-E2F1-454F-A281-51D53D40B298}</author>
    <author>tc={4CA37955-A454-0947-AF0B-CB7FD61C5EF6}</author>
    <author>tc={24C730A5-7805-455F-B5F1-DDF6ACA92459}</author>
  </authors>
  <commentList>
    <comment ref="E15" authorId="0" shapeId="0" xr:uid="{E7D93C7C-1C3D-4CC7-A2F2-C5A1610F8B5C}">
      <text>
        <r>
          <rPr>
            <b/>
            <sz val="9"/>
            <color indexed="81"/>
            <rFont val="Tahoma"/>
            <family val="2"/>
          </rPr>
          <t>DJ:</t>
        </r>
        <r>
          <rPr>
            <sz val="9"/>
            <color indexed="81"/>
            <rFont val="Tahoma"/>
            <family val="2"/>
          </rPr>
          <t xml:space="preserve">
price change - Noted</t>
        </r>
      </text>
    </comment>
    <comment ref="E16" authorId="1" shapeId="0" xr:uid="{2A629F2F-D6AA-407B-ADF9-C747A8EB4D87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€450 - Change to 635 for Oct-23</t>
      </text>
    </comment>
    <comment ref="E19" authorId="2" shapeId="0" xr:uid="{48819693-E2F1-454F-A281-51D53D40B29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Nov-24 with Avg. FX rate for 2024</t>
      </text>
    </comment>
    <comment ref="E21" authorId="3" shapeId="0" xr:uid="{4CA37955-A454-0947-AF0B-CB7FD61C5EF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Nov-24 with Avg. FX rate for 2024</t>
      </text>
    </comment>
    <comment ref="E27" authorId="4" shapeId="0" xr:uid="{24C730A5-7805-455F-B5F1-DDF6ACA9245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€560 - Change to 885 for Oct-23</t>
      </text>
    </comment>
    <comment ref="X34" authorId="0" shapeId="0" xr:uid="{88222081-AAD2-4EBE-BA7A-69F5F4FAD351}">
      <text>
        <r>
          <rPr>
            <b/>
            <sz val="9"/>
            <color indexed="81"/>
            <rFont val="Tahoma"/>
            <family val="2"/>
          </rPr>
          <t>DJ:</t>
        </r>
        <r>
          <rPr>
            <sz val="9"/>
            <color indexed="81"/>
            <rFont val="Tahoma"/>
            <family val="2"/>
          </rPr>
          <t xml:space="preserve">
Added to stock - 15th April</t>
        </r>
      </text>
    </comment>
    <comment ref="V57" authorId="0" shapeId="0" xr:uid="{D48E2EBA-4643-4A0E-B59E-3379BFC802D8}">
      <text>
        <r>
          <rPr>
            <b/>
            <sz val="9"/>
            <color indexed="81"/>
            <rFont val="Tahoma"/>
            <family val="2"/>
          </rPr>
          <t>DJ:</t>
        </r>
        <r>
          <rPr>
            <sz val="9"/>
            <color indexed="81"/>
            <rFont val="Tahoma"/>
            <family val="2"/>
          </rPr>
          <t xml:space="preserve">
Youghal School - 24    Kiltealy School - 12</t>
        </r>
      </text>
    </comment>
    <comment ref="R62" authorId="0" shapeId="0" xr:uid="{3369F927-79EE-46F4-81B4-DB5EBBFAA627}">
      <text>
        <r>
          <rPr>
            <b/>
            <sz val="9"/>
            <color indexed="81"/>
            <rFont val="Tahoma"/>
            <family val="2"/>
          </rPr>
          <t>DJ:</t>
        </r>
        <r>
          <rPr>
            <sz val="9"/>
            <color indexed="81"/>
            <rFont val="Tahoma"/>
            <family val="2"/>
          </rPr>
          <t xml:space="preserve">
To Be replace by Kelly Bros
</t>
        </r>
      </text>
    </comment>
    <comment ref="T62" authorId="0" shapeId="0" xr:uid="{EF79458E-AE67-49C1-9170-D05EFC84962C}">
      <text>
        <r>
          <rPr>
            <b/>
            <sz val="9"/>
            <color indexed="81"/>
            <rFont val="Tahoma"/>
            <family val="2"/>
          </rPr>
          <t>DJ:</t>
        </r>
        <r>
          <rPr>
            <sz val="9"/>
            <color indexed="81"/>
            <rFont val="Tahoma"/>
            <family val="2"/>
          </rPr>
          <t xml:space="preserve">
Tins to be replace by Kelly Bros
</t>
        </r>
      </text>
    </comment>
    <comment ref="V62" authorId="0" shapeId="0" xr:uid="{0CC01B48-CE87-4FA2-B050-D3977DCECEC2}">
      <text>
        <r>
          <rPr>
            <sz val="9"/>
            <color indexed="81"/>
            <rFont val="Tahoma"/>
            <family val="2"/>
          </rPr>
          <t xml:space="preserve">Replace by Kelly Bros
</t>
        </r>
      </text>
    </comment>
  </commentList>
</comments>
</file>

<file path=xl/sharedStrings.xml><?xml version="1.0" encoding="utf-8"?>
<sst xmlns="http://schemas.openxmlformats.org/spreadsheetml/2006/main" count="869" uniqueCount="290">
  <si>
    <t>Description</t>
  </si>
  <si>
    <t>Supplier</t>
  </si>
  <si>
    <t>Type</t>
  </si>
  <si>
    <t>Unit</t>
  </si>
  <si>
    <t>Kestrel</t>
  </si>
  <si>
    <t>Thermo-P</t>
  </si>
  <si>
    <t>Tonne</t>
  </si>
  <si>
    <t>Red - KestrelFlex - Anti-Skid</t>
  </si>
  <si>
    <t>A-S</t>
  </si>
  <si>
    <t xml:space="preserve">Beads </t>
  </si>
  <si>
    <t>Bitumen</t>
  </si>
  <si>
    <t>Acrylic Primer</t>
  </si>
  <si>
    <t xml:space="preserve">Visever </t>
  </si>
  <si>
    <t>Paint</t>
  </si>
  <si>
    <t>900 Kgs</t>
  </si>
  <si>
    <t>Meon</t>
  </si>
  <si>
    <t>25L</t>
  </si>
  <si>
    <t>MultiGrip X440 Admiralty Grey</t>
  </si>
  <si>
    <t>20kg</t>
  </si>
  <si>
    <t>MultiGrip X440 Stong Blue</t>
  </si>
  <si>
    <t>20 Kg</t>
  </si>
  <si>
    <t xml:space="preserve">MultiGrip X440 Traffic Green RAL6024 </t>
  </si>
  <si>
    <t>MultiGrip X440 Traffic Purple. RAL 4006</t>
  </si>
  <si>
    <t>Vialine Traffic Blue RAL 5017</t>
  </si>
  <si>
    <t>18KG</t>
  </si>
  <si>
    <t>ViaLine  Traffic Red RAL1023</t>
  </si>
  <si>
    <t>ViaLine Graphite Black</t>
  </si>
  <si>
    <t>ViaLine Traffic Yellow (RAL 1023)</t>
  </si>
  <si>
    <t>ViaLine White</t>
  </si>
  <si>
    <t>Logo</t>
  </si>
  <si>
    <t>1 Unit</t>
  </si>
  <si>
    <t>TOTAL</t>
  </si>
  <si>
    <t xml:space="preserve">White Extrusion 80/20 </t>
  </si>
  <si>
    <t xml:space="preserve">Yellow Extrusion 55/20 </t>
  </si>
  <si>
    <t xml:space="preserve">White 70/0 Non Refl </t>
  </si>
  <si>
    <t>White Ultralux 200</t>
  </si>
  <si>
    <t>Yellow Ultralux 200</t>
  </si>
  <si>
    <t>White Ribline Ultralux 200</t>
  </si>
  <si>
    <t>Kelly</t>
  </si>
  <si>
    <t>Swarco Beads High Grade</t>
  </si>
  <si>
    <t>Beads</t>
  </si>
  <si>
    <t>Bitumen / Stud Grout</t>
  </si>
  <si>
    <t>C-E</t>
  </si>
  <si>
    <t xml:space="preserve">Joint Sealer Bitumen </t>
  </si>
  <si>
    <t>Ennis Flint</t>
  </si>
  <si>
    <r>
      <t xml:space="preserve">Anti Skid Buff  - </t>
    </r>
    <r>
      <rPr>
        <b/>
        <sz val="12"/>
        <rFont val="Calibri"/>
        <family val="2"/>
      </rPr>
      <t>Kelly's</t>
    </r>
  </si>
  <si>
    <t xml:space="preserve">Anti Skid Red </t>
  </si>
  <si>
    <t>Buff - Type 1 KestrelGrip  ( 1.250 Kg)</t>
  </si>
  <si>
    <t xml:space="preserve">Cast Iron Studs </t>
  </si>
  <si>
    <t>Roadstuds</t>
  </si>
  <si>
    <t>I Unit</t>
  </si>
  <si>
    <t>Catseye Pads</t>
  </si>
  <si>
    <t xml:space="preserve">Road Studs 301 Type </t>
  </si>
  <si>
    <t>Roadcraft</t>
  </si>
  <si>
    <r>
      <t xml:space="preserve">Stick On Studs - </t>
    </r>
    <r>
      <rPr>
        <b/>
        <sz val="12"/>
        <rFont val="Calibri"/>
        <family val="2"/>
      </rPr>
      <t>Meon</t>
    </r>
  </si>
  <si>
    <t>Meon Uniprime X250 Concrete Primer</t>
  </si>
  <si>
    <t>14kg</t>
  </si>
  <si>
    <t>School Logo's - Black Figures</t>
  </si>
  <si>
    <t>Bicycle Logo's   1200mm</t>
  </si>
  <si>
    <t>Anti Skid Grains (€550 p/T)</t>
  </si>
  <si>
    <t>ViaLine  Traffic Green</t>
  </si>
  <si>
    <t>14 kgs</t>
  </si>
  <si>
    <t>Motorcycle Logo</t>
  </si>
  <si>
    <t>Value</t>
  </si>
  <si>
    <r>
      <t xml:space="preserve">White - </t>
    </r>
    <r>
      <rPr>
        <b/>
        <sz val="12"/>
        <rFont val="Calibri"/>
        <family val="2"/>
        <scheme val="minor"/>
      </rPr>
      <t>Briteline</t>
    </r>
  </si>
  <si>
    <r>
      <t xml:space="preserve">Yellow  - </t>
    </r>
    <r>
      <rPr>
        <b/>
        <sz val="12"/>
        <rFont val="Calibri"/>
        <family val="2"/>
        <scheme val="minor"/>
      </rPr>
      <t>Briteline</t>
    </r>
  </si>
  <si>
    <t xml:space="preserve">Polymer Modified Bitumen </t>
  </si>
  <si>
    <t>ViaLine Black</t>
  </si>
  <si>
    <t xml:space="preserve">Visever IBC'S Units </t>
  </si>
  <si>
    <t>Primer</t>
  </si>
  <si>
    <t>900kg</t>
  </si>
  <si>
    <t>Qty</t>
  </si>
  <si>
    <t>MACROADS</t>
  </si>
  <si>
    <t>Actual</t>
  </si>
  <si>
    <t>Closing</t>
  </si>
  <si>
    <t>South</t>
  </si>
  <si>
    <t>Dublin</t>
  </si>
  <si>
    <t>Total Stock</t>
  </si>
  <si>
    <t>Disabled Logo's</t>
  </si>
  <si>
    <t>Pedestrian  Logo's  1.2 *0.7M</t>
  </si>
  <si>
    <t>Uniprime X250 Concrete Primer</t>
  </si>
  <si>
    <t>Bicycle Logo's  1200mm</t>
  </si>
  <si>
    <t>Bicycle Logo's  2750mm</t>
  </si>
  <si>
    <t xml:space="preserve">Bicycle Logo's   2750mm </t>
  </si>
  <si>
    <t xml:space="preserve">Rainbow Crossing - 12M Long (6 strips) </t>
  </si>
  <si>
    <t>Unipime X450 Primer for Concrete w. Therm</t>
  </si>
  <si>
    <t>Meon Uniprime X450 Concrete Primer w. Thermo</t>
  </si>
  <si>
    <t>E Car Logo Large</t>
  </si>
  <si>
    <t xml:space="preserve">MultiGrip X440 White. RAL </t>
  </si>
  <si>
    <t>M &amp; E</t>
  </si>
  <si>
    <t>Bollards</t>
  </si>
  <si>
    <t>UltraClean X792 Advanced Solvent Cleaner 25 litre</t>
  </si>
  <si>
    <t>Multigrip Bold red</t>
  </si>
  <si>
    <t>Dublin Yard Stock</t>
  </si>
  <si>
    <t>Clonmel Yard Stock</t>
  </si>
  <si>
    <t>Pedestrian Logo's 1,200mm * 700mm</t>
  </si>
  <si>
    <t>Buff - KestrelFlex - Anti-Skid</t>
  </si>
  <si>
    <t>Unpigmented Screed</t>
  </si>
  <si>
    <t>Magmaline - 150mm X 5m</t>
  </si>
  <si>
    <t>Fork Truck Logo's  1200mm</t>
  </si>
  <si>
    <t>Clearseal X260</t>
  </si>
  <si>
    <t xml:space="preserve">Meon </t>
  </si>
  <si>
    <t>Sealer</t>
  </si>
  <si>
    <t>16kg</t>
  </si>
  <si>
    <t>MoM Variance</t>
  </si>
  <si>
    <t>Magmaline - 200mm X 5m</t>
  </si>
  <si>
    <t>Stock</t>
  </si>
  <si>
    <t>Multigrip Sky Blue RAL 5012</t>
  </si>
  <si>
    <t>Pedestrian Logo's 980mm</t>
  </si>
  <si>
    <t>Parent &amp; Child Logos (IKEA)</t>
  </si>
  <si>
    <t>Briteplast - MMA - Yellow</t>
  </si>
  <si>
    <t xml:space="preserve">MMA Paints - Blue </t>
  </si>
  <si>
    <t>MMA Paints - Green</t>
  </si>
  <si>
    <t>Pedestrian Logo's 980mm Yellow (Tesco)</t>
  </si>
  <si>
    <t>White - Wetline</t>
  </si>
  <si>
    <t>MMA Paints - Red</t>
  </si>
  <si>
    <t>Bitumen Restorer</t>
  </si>
  <si>
    <t>Kellys</t>
  </si>
  <si>
    <t>MMA Paints - Yellow</t>
  </si>
  <si>
    <t xml:space="preserve">YoY Variance </t>
  </si>
  <si>
    <t>Clonmel</t>
  </si>
  <si>
    <t xml:space="preserve">Dublin </t>
  </si>
  <si>
    <t xml:space="preserve">Additional Dublin m/ment re March </t>
  </si>
  <si>
    <t>Total M/ment</t>
  </si>
  <si>
    <t xml:space="preserve">Bal per nl </t>
  </si>
  <si>
    <t>Clonmel m/.ment</t>
  </si>
  <si>
    <t>Dublin m/ment</t>
  </si>
  <si>
    <t xml:space="preserve">Dublin diff </t>
  </si>
  <si>
    <t>20kgs</t>
  </si>
  <si>
    <t>F&amp;F</t>
  </si>
  <si>
    <t>Yellow Briteline +</t>
  </si>
  <si>
    <t>White Briteline +</t>
  </si>
  <si>
    <t>Ultraforce L247 MMA Kit (3 Part Kit)</t>
  </si>
  <si>
    <t>Multigrip 4No.  Colours (Playground, Enfield)</t>
  </si>
  <si>
    <t>Bauxite Buff  for MMA</t>
  </si>
  <si>
    <t>MMA</t>
  </si>
  <si>
    <t>Coloured Circles  ( rate as per 1M circles )</t>
  </si>
  <si>
    <t>MMA Paints - Blue</t>
  </si>
  <si>
    <t>2025 Prices</t>
  </si>
  <si>
    <t>Ramp Pieces (M &amp; E)</t>
  </si>
  <si>
    <t>MultiGrip Strong Blue</t>
  </si>
  <si>
    <t>Pittman</t>
  </si>
  <si>
    <t>White Thermo</t>
  </si>
  <si>
    <t>Yellow Thermo</t>
  </si>
  <si>
    <t>Pallets</t>
  </si>
  <si>
    <t>Bags</t>
  </si>
  <si>
    <t>Boiler</t>
  </si>
  <si>
    <t>Total</t>
  </si>
  <si>
    <t>Vialine Traffic Blue RAL 5015</t>
  </si>
  <si>
    <t>E Car Logo Small c/w Green Background</t>
  </si>
  <si>
    <t>MultiGrip Strong Yellow</t>
  </si>
  <si>
    <t>Yellow</t>
  </si>
  <si>
    <t>White</t>
  </si>
  <si>
    <t>lin.m</t>
  </si>
  <si>
    <t>50mm Speed Bumps - Pittman</t>
  </si>
  <si>
    <t>Aggregate for Red MMA A/S</t>
  </si>
  <si>
    <t>Red Vialine - Ral 3004</t>
  </si>
  <si>
    <t xml:space="preserve">Full Boiler  equates to </t>
  </si>
  <si>
    <t>or 10 Bags</t>
  </si>
  <si>
    <t>Trucks</t>
  </si>
  <si>
    <t>MultiGrip X440 Bold RED</t>
  </si>
  <si>
    <t>2 Unit</t>
  </si>
  <si>
    <t>Cold A-S</t>
  </si>
  <si>
    <t>Anti-skid re-instatement</t>
  </si>
  <si>
    <t>5 to 1</t>
  </si>
  <si>
    <r>
      <t>Stick On Studs -</t>
    </r>
    <r>
      <rPr>
        <b/>
        <sz val="12"/>
        <rFont val="Calibri"/>
        <family val="2"/>
        <scheme val="minor"/>
      </rPr>
      <t xml:space="preserve"> Roadcraft  1st July</t>
    </r>
  </si>
  <si>
    <t>M-Grip</t>
  </si>
  <si>
    <t>Vialine</t>
  </si>
  <si>
    <t>Ultaline 210 White</t>
  </si>
  <si>
    <t>CP Primer</t>
  </si>
  <si>
    <t>Cleaner</t>
  </si>
  <si>
    <t>MMA Paint - Black</t>
  </si>
  <si>
    <t>Preform letters   700mm - Kestrel</t>
  </si>
  <si>
    <t>Kelly's</t>
  </si>
  <si>
    <t>MMA Paints - White</t>
  </si>
  <si>
    <t>E-Car Logo's 0nly</t>
  </si>
  <si>
    <t>Electric Vehicle Logo - RRM 035</t>
  </si>
  <si>
    <t xml:space="preserve">E-Car Logo's / Electric Vehicle Only </t>
  </si>
  <si>
    <t>EV ONLY text for Epower</t>
  </si>
  <si>
    <t>Swept Path Markers for Transdev</t>
  </si>
  <si>
    <t>Pedestrian Logo 1200mm in YELLOW</t>
  </si>
  <si>
    <t>3 Unit</t>
  </si>
  <si>
    <t>MMA Paints - Black</t>
  </si>
  <si>
    <t>Disabled Logo on Purple B'ground</t>
  </si>
  <si>
    <t>Ultaline 210 Yellow</t>
  </si>
  <si>
    <t>Pink Tacoat-Primer - Tins</t>
  </si>
  <si>
    <t>Parent &amp; Pram Logo's</t>
  </si>
  <si>
    <t>Logo's</t>
  </si>
  <si>
    <t>Shared Logo - Cycle / Ped / Cars</t>
  </si>
  <si>
    <t>Celtic Knot logo</t>
  </si>
  <si>
    <t>MMA Paint - Red (kestrel)</t>
  </si>
  <si>
    <t>20Kg</t>
  </si>
  <si>
    <t>Pre-form for Lucan ETNS</t>
  </si>
  <si>
    <t>E Car Logo 1.0m</t>
  </si>
  <si>
    <t>E Car Logo for epower</t>
  </si>
  <si>
    <t>Vialine Blue RAL 5017</t>
  </si>
  <si>
    <t>Digits 1-9</t>
  </si>
  <si>
    <t>IDA Letters</t>
  </si>
  <si>
    <t>Visitor letters</t>
  </si>
  <si>
    <t>IDA Visitors 05/06/07</t>
  </si>
  <si>
    <t xml:space="preserve">Electrical Vehicle only </t>
  </si>
  <si>
    <t>Clock Blue + Yellow Nos</t>
  </si>
  <si>
    <t>Age Friendly Parking</t>
  </si>
  <si>
    <t>Multigrip Sand Yellow (OPW)</t>
  </si>
  <si>
    <t>E Car Logo Small 1.2M</t>
  </si>
  <si>
    <t>600mm x 100mm White Strips</t>
  </si>
  <si>
    <t>Pedestrian Logo White</t>
  </si>
  <si>
    <t>Mother &amp; Child Black</t>
  </si>
  <si>
    <t>School Logo Triangle</t>
  </si>
  <si>
    <t xml:space="preserve">Click &amp; Collect </t>
  </si>
  <si>
    <t>Multigrip Signal Yellow</t>
  </si>
  <si>
    <t>21 Kg</t>
  </si>
  <si>
    <t>22 Kg</t>
  </si>
  <si>
    <t>Multigrip Chrome Yellow</t>
  </si>
  <si>
    <t>Wheel Stop's - 1.8M</t>
  </si>
  <si>
    <t>MultiGrip X440 Yellow</t>
  </si>
  <si>
    <t>141D</t>
  </si>
  <si>
    <t>10D</t>
  </si>
  <si>
    <t>09D</t>
  </si>
  <si>
    <t>Shed</t>
  </si>
  <si>
    <t>31-11-25</t>
  </si>
  <si>
    <t>Ramps</t>
  </si>
  <si>
    <t>Bauxite Buff 20kg Tubs</t>
  </si>
  <si>
    <t>Bauxite</t>
  </si>
  <si>
    <t>Glue</t>
  </si>
  <si>
    <t>Aerosol Paint Tins</t>
  </si>
  <si>
    <t>Aerosol</t>
  </si>
  <si>
    <t>03 TN 3317</t>
  </si>
  <si>
    <t>132 D 23712</t>
  </si>
  <si>
    <t>06 TN 2651</t>
  </si>
  <si>
    <t>06 TN 3308</t>
  </si>
  <si>
    <t>06 TS 8391</t>
  </si>
  <si>
    <t>05 TS 8347</t>
  </si>
  <si>
    <t>Cats Eyes</t>
  </si>
  <si>
    <t>06 TN 3378</t>
  </si>
  <si>
    <t>252  D 26246</t>
  </si>
  <si>
    <t>251 D 23451</t>
  </si>
  <si>
    <t>Extruder</t>
  </si>
  <si>
    <t>MoG</t>
  </si>
  <si>
    <t>07 TN 3217</t>
  </si>
  <si>
    <t>132 D 23815</t>
  </si>
  <si>
    <t>132 TS 1108</t>
  </si>
  <si>
    <t>141 D 41062</t>
  </si>
  <si>
    <t>192 D 22122</t>
  </si>
  <si>
    <t>Spare</t>
  </si>
  <si>
    <t>ToD</t>
  </si>
  <si>
    <t>KoD</t>
  </si>
  <si>
    <t>LK</t>
  </si>
  <si>
    <t>JB</t>
  </si>
  <si>
    <t>201 D 6447</t>
  </si>
  <si>
    <t>212 D 22432</t>
  </si>
  <si>
    <t>221 D 4378</t>
  </si>
  <si>
    <t>PH</t>
  </si>
  <si>
    <t>GS</t>
  </si>
  <si>
    <t>A/S - RED</t>
  </si>
  <si>
    <t>A/S - BUFF</t>
  </si>
  <si>
    <t>Feeder T</t>
  </si>
  <si>
    <t>PU Bond Resin Kit Part   -   A &amp; B 15 kg Tubs</t>
  </si>
  <si>
    <t>Road Diesel - White</t>
  </si>
  <si>
    <t>Marked Gas Oil - Green</t>
  </si>
  <si>
    <t>Mid-West</t>
  </si>
  <si>
    <t>Fuel</t>
  </si>
  <si>
    <t>Ltrs</t>
  </si>
  <si>
    <t>MMA Paint _Green</t>
  </si>
  <si>
    <t>KGs</t>
  </si>
  <si>
    <t>Playground Marking for Scoil Aonia</t>
  </si>
  <si>
    <t>Pedestrian Logo 980 White</t>
  </si>
  <si>
    <t>KoS</t>
  </si>
  <si>
    <t>Yard</t>
  </si>
  <si>
    <t>Buff</t>
  </si>
  <si>
    <t>Red</t>
  </si>
  <si>
    <t>Hi-Grade W</t>
  </si>
  <si>
    <t>Hi-Grade Y</t>
  </si>
  <si>
    <t>Hi-Grade W (Kestrel)</t>
  </si>
  <si>
    <t>Note:  Material in 25kgs , 40 bags = 1 Tonne</t>
  </si>
  <si>
    <t>262 D 1654</t>
  </si>
  <si>
    <t>06 TS 3308</t>
  </si>
  <si>
    <t>Full Hand Truck Boiler = 10 bags or 250 Kgs</t>
  </si>
  <si>
    <t>Bags Kgs</t>
  </si>
  <si>
    <t>Pallets kgs</t>
  </si>
  <si>
    <t>Kgs</t>
  </si>
  <si>
    <t>ViaLine Traffic Orange</t>
  </si>
  <si>
    <t>% Full</t>
  </si>
  <si>
    <t xml:space="preserve">KG per Full Boiler </t>
  </si>
  <si>
    <t xml:space="preserve">Kg Per Bag </t>
  </si>
  <si>
    <t>Boilers</t>
  </si>
  <si>
    <t>KG per Bag</t>
  </si>
  <si>
    <t xml:space="preserve">31st July </t>
  </si>
  <si>
    <t>31st Aug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</si>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</sst>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_-&quot;£&quot;* #,##0.00_-;\-&quot;£&quot;* #,##0.00_-;_-&quot;£&quot;* &quot;-&quot;??_-;_-@_-"/>
    <numFmt numFmtId="166" formatCode="_(&quot;£&quot;* #,##0.00_);_(&quot;£&quot;* \(#,##0.00\);_(&quot;£&quot;* &quot;-&quot;??_);_(@_)"/>
    <numFmt numFmtId="167" formatCode="_-* #,##0.0_-;\-* #,##0.0_-;_-* &quot;-&quot;??_-;_-@_-"/>
    <numFmt numFmtId="168" formatCode="_-&quot;£&quot;* #,##0_-;\-&quot;£&quot;* #,##0_-;_-&quot;£&quot;* &quot;-&quot;??_-;_-@_-"/>
    <numFmt numFmtId="169" formatCode="_-&quot;£&quot;* #,##0.000_-;\-&quot;£&quot;* #,##0.000_-;_-&quot;£&quot;* &quot;-&quot;??_-;_-@_-"/>
    <numFmt numFmtId="170" formatCode="_-[$€-2]\ * #,##0.00_-;\-[$€-2]\ * #,##0.00_-;_-[$€-2]\ * &quot;-&quot;??_-;_-@_-"/>
    <numFmt numFmtId="171" formatCode="_-[$€-2]\ * #,##0_-;\-[$€-2]\ * #,##0_-;_-[$€-2]\ * &quot;-&quot;??_-;_-@_-"/>
    <numFmt numFmtId="172" formatCode="_-[$€-2]\ * #,##0.0_-;\-[$€-2]\ * #,##0.0_-;_-[$€-2]\ * &quot;-&quot;??_-;_-@_-"/>
    <numFmt numFmtId="173" formatCode="_-[$€-2]\ * #,##0.0_-;\-[$€-2]\ * #,##0.0_-;_-[$€-2]\ * &quot;-&quot;?_-;_-@_-"/>
    <numFmt numFmtId="174" formatCode="_-&quot;€&quot;* #,##0_-;\-&quot;€&quot;* #,##0_-;_-&quot;€&quot;* &quot;-&quot;??_-;_-@_-"/>
    <numFmt numFmtId="175" formatCode="0.0"/>
    <numFmt numFmtId="176" formatCode="_-[$€-2]\ * #,##0_-;\-[$€-2]\ * #,##0_-;_-[$€-2]\ * &quot;-&quot;?_-;_-@_-"/>
    <numFmt numFmtId="177" formatCode="&quot;€&quot;#,##0.00"/>
    <numFmt numFmtId="178" formatCode="&quot;€&quot;#,##0"/>
    <numFmt numFmtId="179" formatCode="#,##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/>
    <xf numFmtId="167" fontId="3" fillId="3" borderId="1" xfId="1" applyNumberFormat="1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3" fillId="0" borderId="0" xfId="0" applyFont="1"/>
    <xf numFmtId="9" fontId="2" fillId="3" borderId="1" xfId="3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10" fillId="7" borderId="0" xfId="0" applyNumberFormat="1" applyFont="1" applyFill="1" applyAlignment="1">
      <alignment horizontal="center"/>
    </xf>
    <xf numFmtId="15" fontId="11" fillId="4" borderId="0" xfId="0" applyNumberFormat="1" applyFont="1" applyFill="1" applyAlignment="1">
      <alignment horizontal="center"/>
    </xf>
    <xf numFmtId="15" fontId="11" fillId="6" borderId="0" xfId="0" applyNumberFormat="1" applyFont="1" applyFill="1" applyAlignment="1">
      <alignment horizontal="center"/>
    </xf>
    <xf numFmtId="15" fontId="11" fillId="8" borderId="0" xfId="0" applyNumberFormat="1" applyFont="1" applyFill="1" applyAlignment="1">
      <alignment horizontal="center"/>
    </xf>
    <xf numFmtId="0" fontId="9" fillId="2" borderId="0" xfId="0" applyFont="1" applyFill="1"/>
    <xf numFmtId="15" fontId="10" fillId="9" borderId="0" xfId="0" applyNumberFormat="1" applyFont="1" applyFill="1" applyAlignment="1">
      <alignment horizontal="center"/>
    </xf>
    <xf numFmtId="16" fontId="11" fillId="4" borderId="0" xfId="0" applyNumberFormat="1" applyFont="1" applyFill="1" applyAlignment="1">
      <alignment horizontal="center"/>
    </xf>
    <xf numFmtId="16" fontId="11" fillId="6" borderId="0" xfId="0" applyNumberFormat="1" applyFont="1" applyFill="1" applyAlignment="1">
      <alignment horizontal="center"/>
    </xf>
    <xf numFmtId="16" fontId="11" fillId="8" borderId="0" xfId="0" applyNumberFormat="1" applyFont="1" applyFill="1" applyAlignment="1">
      <alignment horizontal="center"/>
    </xf>
    <xf numFmtId="16" fontId="10" fillId="9" borderId="0" xfId="0" applyNumberFormat="1" applyFont="1" applyFill="1" applyAlignment="1">
      <alignment horizontal="center"/>
    </xf>
    <xf numFmtId="0" fontId="0" fillId="3" borderId="0" xfId="0" applyFill="1" applyAlignment="1">
      <alignment wrapText="1"/>
    </xf>
    <xf numFmtId="0" fontId="2" fillId="10" borderId="1" xfId="0" applyFont="1" applyFill="1" applyBorder="1" applyAlignment="1">
      <alignment horizontal="center" vertical="center" wrapText="1"/>
    </xf>
    <xf numFmtId="168" fontId="3" fillId="10" borderId="1" xfId="2" applyNumberFormat="1" applyFont="1" applyFill="1" applyBorder="1" applyAlignment="1">
      <alignment horizontal="center"/>
    </xf>
    <xf numFmtId="169" fontId="3" fillId="10" borderId="1" xfId="2" applyNumberFormat="1" applyFont="1" applyFill="1" applyBorder="1" applyAlignment="1">
      <alignment horizontal="center"/>
    </xf>
    <xf numFmtId="165" fontId="3" fillId="10" borderId="1" xfId="2" applyNumberFormat="1" applyFont="1" applyFill="1" applyBorder="1" applyAlignment="1">
      <alignment horizontal="center"/>
    </xf>
    <xf numFmtId="43" fontId="3" fillId="0" borderId="1" xfId="1" applyNumberFormat="1" applyFont="1" applyFill="1" applyBorder="1" applyAlignment="1">
      <alignment horizontal="center"/>
    </xf>
    <xf numFmtId="168" fontId="8" fillId="0" borderId="0" xfId="0" applyNumberFormat="1" applyFont="1"/>
    <xf numFmtId="43" fontId="7" fillId="0" borderId="1" xfId="1" applyNumberFormat="1" applyFont="1" applyFill="1" applyBorder="1" applyAlignment="1">
      <alignment horizontal="center"/>
    </xf>
    <xf numFmtId="43" fontId="3" fillId="3" borderId="1" xfId="1" applyNumberFormat="1" applyFont="1" applyFill="1" applyBorder="1" applyAlignment="1">
      <alignment horizontal="center"/>
    </xf>
    <xf numFmtId="0" fontId="0" fillId="5" borderId="17" xfId="0" applyFill="1" applyBorder="1"/>
    <xf numFmtId="0" fontId="0" fillId="0" borderId="22" xfId="0" applyBorder="1"/>
    <xf numFmtId="0" fontId="0" fillId="0" borderId="17" xfId="0" applyBorder="1"/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170" fontId="3" fillId="3" borderId="1" xfId="1" applyNumberFormat="1" applyFont="1" applyFill="1" applyBorder="1" applyAlignment="1">
      <alignment horizontal="center"/>
    </xf>
    <xf numFmtId="170" fontId="0" fillId="0" borderId="0" xfId="0" applyNumberFormat="1"/>
    <xf numFmtId="170" fontId="3" fillId="0" borderId="3" xfId="0" applyNumberFormat="1" applyFont="1" applyBorder="1"/>
    <xf numFmtId="171" fontId="3" fillId="3" borderId="1" xfId="1" applyNumberFormat="1" applyFont="1" applyFill="1" applyBorder="1" applyAlignment="1">
      <alignment horizontal="center"/>
    </xf>
    <xf numFmtId="171" fontId="0" fillId="0" borderId="0" xfId="0" applyNumberFormat="1"/>
    <xf numFmtId="171" fontId="3" fillId="0" borderId="3" xfId="0" applyNumberFormat="1" applyFont="1" applyBorder="1"/>
    <xf numFmtId="170" fontId="3" fillId="5" borderId="1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1" fontId="2" fillId="3" borderId="1" xfId="1" applyNumberFormat="1" applyFont="1" applyFill="1" applyBorder="1"/>
    <xf numFmtId="171" fontId="3" fillId="3" borderId="1" xfId="2" applyNumberFormat="1" applyFont="1" applyFill="1" applyBorder="1" applyAlignment="1">
      <alignment horizontal="center"/>
    </xf>
    <xf numFmtId="164" fontId="0" fillId="3" borderId="1" xfId="1" applyFont="1" applyFill="1" applyBorder="1"/>
    <xf numFmtId="172" fontId="3" fillId="11" borderId="1" xfId="2" applyNumberFormat="1" applyFont="1" applyFill="1" applyBorder="1" applyAlignment="1">
      <alignment horizontal="center"/>
    </xf>
    <xf numFmtId="171" fontId="0" fillId="2" borderId="0" xfId="0" applyNumberFormat="1" applyFill="1"/>
    <xf numFmtId="171" fontId="0" fillId="0" borderId="0" xfId="2" applyNumberFormat="1" applyFont="1"/>
    <xf numFmtId="171" fontId="0" fillId="0" borderId="0" xfId="2" applyNumberFormat="1" applyFont="1" applyFill="1"/>
    <xf numFmtId="171" fontId="8" fillId="0" borderId="3" xfId="0" applyNumberFormat="1" applyFont="1" applyBorder="1"/>
    <xf numFmtId="171" fontId="8" fillId="2" borderId="3" xfId="0" applyNumberFormat="1" applyFont="1" applyFill="1" applyBorder="1"/>
    <xf numFmtId="171" fontId="0" fillId="3" borderId="0" xfId="0" applyNumberFormat="1" applyFill="1" applyAlignment="1">
      <alignment wrapText="1"/>
    </xf>
    <xf numFmtId="171" fontId="0" fillId="3" borderId="0" xfId="0" applyNumberFormat="1" applyFill="1"/>
    <xf numFmtId="15" fontId="8" fillId="0" borderId="23" xfId="0" applyNumberFormat="1" applyFont="1" applyBorder="1" applyAlignment="1">
      <alignment horizontal="center"/>
    </xf>
    <xf numFmtId="171" fontId="2" fillId="3" borderId="0" xfId="1" applyNumberFormat="1" applyFont="1" applyFill="1" applyBorder="1"/>
    <xf numFmtId="0" fontId="0" fillId="3" borderId="1" xfId="0" applyFill="1" applyBorder="1"/>
    <xf numFmtId="44" fontId="0" fillId="3" borderId="1" xfId="2" applyNumberFormat="1" applyFont="1" applyFill="1" applyBorder="1"/>
    <xf numFmtId="44" fontId="0" fillId="0" borderId="0" xfId="0" applyNumberFormat="1"/>
    <xf numFmtId="43" fontId="3" fillId="12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3" fillId="5" borderId="1" xfId="1" applyNumberFormat="1" applyFont="1" applyFill="1" applyBorder="1" applyAlignment="1">
      <alignment horizontal="center"/>
    </xf>
    <xf numFmtId="12" fontId="3" fillId="3" borderId="1" xfId="1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173" fontId="0" fillId="3" borderId="1" xfId="0" applyNumberFormat="1" applyFill="1" applyBorder="1"/>
    <xf numFmtId="173" fontId="0" fillId="0" borderId="0" xfId="0" applyNumberFormat="1"/>
    <xf numFmtId="16" fontId="2" fillId="3" borderId="25" xfId="0" applyNumberFormat="1" applyFont="1" applyFill="1" applyBorder="1" applyAlignment="1">
      <alignment horizontal="center" vertical="center"/>
    </xf>
    <xf numFmtId="16" fontId="2" fillId="3" borderId="26" xfId="0" applyNumberFormat="1" applyFont="1" applyFill="1" applyBorder="1" applyAlignment="1">
      <alignment horizontal="center" vertical="center"/>
    </xf>
    <xf numFmtId="0" fontId="0" fillId="0" borderId="1" xfId="0" applyBorder="1"/>
    <xf numFmtId="12" fontId="3" fillId="0" borderId="1" xfId="1" applyNumberFormat="1" applyFont="1" applyFill="1" applyBorder="1" applyAlignment="1">
      <alignment horizontal="center"/>
    </xf>
    <xf numFmtId="2" fontId="0" fillId="3" borderId="1" xfId="0" applyNumberFormat="1" applyFill="1" applyBorder="1"/>
    <xf numFmtId="2" fontId="0" fillId="0" borderId="1" xfId="0" applyNumberFormat="1" applyBorder="1"/>
    <xf numFmtId="2" fontId="3" fillId="0" borderId="1" xfId="0" applyNumberFormat="1" applyFont="1" applyBorder="1"/>
    <xf numFmtId="174" fontId="8" fillId="0" borderId="0" xfId="0" applyNumberFormat="1" applyFont="1"/>
    <xf numFmtId="16" fontId="2" fillId="3" borderId="28" xfId="0" applyNumberFormat="1" applyFont="1" applyFill="1" applyBorder="1" applyAlignment="1">
      <alignment horizontal="center" vertical="center"/>
    </xf>
    <xf numFmtId="16" fontId="2" fillId="3" borderId="29" xfId="0" applyNumberFormat="1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16" fontId="2" fillId="3" borderId="27" xfId="0" applyNumberFormat="1" applyFont="1" applyFill="1" applyBorder="1" applyAlignment="1">
      <alignment horizontal="center" vertical="center"/>
    </xf>
    <xf numFmtId="170" fontId="3" fillId="0" borderId="1" xfId="1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175" fontId="3" fillId="0" borderId="1" xfId="1" applyNumberFormat="1" applyFont="1" applyFill="1" applyBorder="1" applyAlignment="1">
      <alignment horizontal="center"/>
    </xf>
    <xf numFmtId="176" fontId="0" fillId="0" borderId="0" xfId="0" applyNumberFormat="1"/>
    <xf numFmtId="43" fontId="3" fillId="0" borderId="0" xfId="1" applyNumberFormat="1" applyFont="1" applyFill="1" applyBorder="1" applyAlignment="1">
      <alignment horizontal="center"/>
    </xf>
    <xf numFmtId="43" fontId="0" fillId="0" borderId="0" xfId="0" applyNumberFormat="1"/>
    <xf numFmtId="171" fontId="3" fillId="0" borderId="1" xfId="1" applyNumberFormat="1" applyFont="1" applyFill="1" applyBorder="1" applyAlignment="1">
      <alignment horizontal="center"/>
    </xf>
    <xf numFmtId="164" fontId="3" fillId="0" borderId="1" xfId="1" applyFont="1" applyFill="1" applyBorder="1" applyAlignment="1">
      <alignment horizontal="center"/>
    </xf>
    <xf numFmtId="168" fontId="3" fillId="0" borderId="1" xfId="2" applyNumberFormat="1" applyFont="1" applyFill="1" applyBorder="1" applyAlignment="1">
      <alignment horizontal="center"/>
    </xf>
    <xf numFmtId="165" fontId="3" fillId="0" borderId="1" xfId="2" applyNumberFormat="1" applyFont="1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9" fontId="0" fillId="0" borderId="30" xfId="3" applyFont="1" applyFill="1" applyBorder="1"/>
    <xf numFmtId="0" fontId="0" fillId="0" borderId="12" xfId="0" applyBorder="1"/>
    <xf numFmtId="0" fontId="0" fillId="0" borderId="18" xfId="0" applyBorder="1"/>
    <xf numFmtId="9" fontId="0" fillId="0" borderId="0" xfId="3" applyFont="1" applyFill="1" applyBorder="1"/>
    <xf numFmtId="1" fontId="0" fillId="0" borderId="30" xfId="3" applyNumberFormat="1" applyFont="1" applyFill="1" applyBorder="1"/>
    <xf numFmtId="1" fontId="0" fillId="0" borderId="0" xfId="3" applyNumberFormat="1" applyFont="1" applyFill="1" applyBorder="1"/>
    <xf numFmtId="0" fontId="0" fillId="0" borderId="13" xfId="0" applyBorder="1"/>
    <xf numFmtId="1" fontId="0" fillId="0" borderId="4" xfId="3" applyNumberFormat="1" applyFont="1" applyFill="1" applyBorder="1"/>
    <xf numFmtId="0" fontId="0" fillId="0" borderId="9" xfId="0" applyBorder="1"/>
    <xf numFmtId="0" fontId="0" fillId="0" borderId="19" xfId="0" applyBorder="1"/>
    <xf numFmtId="16" fontId="2" fillId="3" borderId="10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/>
    <xf numFmtId="177" fontId="3" fillId="0" borderId="1" xfId="0" applyNumberFormat="1" applyFont="1" applyBorder="1"/>
    <xf numFmtId="177" fontId="0" fillId="0" borderId="1" xfId="0" applyNumberFormat="1" applyBorder="1"/>
    <xf numFmtId="177" fontId="0" fillId="0" borderId="0" xfId="0" applyNumberFormat="1"/>
    <xf numFmtId="178" fontId="0" fillId="0" borderId="0" xfId="0" applyNumberFormat="1"/>
    <xf numFmtId="0" fontId="0" fillId="0" borderId="1" xfId="0" applyBorder="1" applyAlignment="1">
      <alignment horizontal="center"/>
    </xf>
    <xf numFmtId="0" fontId="0" fillId="5" borderId="1" xfId="0" applyFill="1" applyBorder="1"/>
    <xf numFmtId="178" fontId="8" fillId="0" borderId="0" xfId="0" applyNumberFormat="1" applyFont="1"/>
    <xf numFmtId="0" fontId="0" fillId="0" borderId="14" xfId="0" applyBorder="1" applyAlignment="1">
      <alignment horizontal="center" wrapText="1"/>
    </xf>
    <xf numFmtId="16" fontId="0" fillId="0" borderId="0" xfId="0" applyNumberFormat="1"/>
    <xf numFmtId="0" fontId="0" fillId="0" borderId="0" xfId="0" applyAlignment="1">
      <alignment horizontal="center" wrapText="1"/>
    </xf>
    <xf numFmtId="170" fontId="0" fillId="0" borderId="1" xfId="0" applyNumberFormat="1" applyBorder="1"/>
    <xf numFmtId="0" fontId="5" fillId="0" borderId="1" xfId="0" applyFont="1" applyBorder="1"/>
    <xf numFmtId="0" fontId="12" fillId="0" borderId="1" xfId="0" applyFont="1" applyBorder="1" applyAlignment="1">
      <alignment vertical="center"/>
    </xf>
    <xf numFmtId="169" fontId="3" fillId="0" borderId="1" xfId="2" applyNumberFormat="1" applyFont="1" applyFill="1" applyBorder="1" applyAlignment="1">
      <alignment horizontal="center"/>
    </xf>
    <xf numFmtId="170" fontId="15" fillId="0" borderId="3" xfId="0" applyNumberFormat="1" applyFont="1" applyBorder="1"/>
    <xf numFmtId="0" fontId="16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12" borderId="0" xfId="0" applyFill="1"/>
    <xf numFmtId="9" fontId="0" fillId="12" borderId="11" xfId="3" applyFont="1" applyFill="1" applyBorder="1"/>
    <xf numFmtId="9" fontId="0" fillId="12" borderId="8" xfId="3" applyFont="1" applyFill="1" applyBorder="1"/>
    <xf numFmtId="9" fontId="0" fillId="12" borderId="5" xfId="3" applyFont="1" applyFill="1" applyBorder="1"/>
    <xf numFmtId="1" fontId="0" fillId="12" borderId="11" xfId="3" applyNumberFormat="1" applyFont="1" applyFill="1" applyBorder="1"/>
    <xf numFmtId="1" fontId="0" fillId="12" borderId="8" xfId="3" applyNumberFormat="1" applyFont="1" applyFill="1" applyBorder="1"/>
    <xf numFmtId="1" fontId="0" fillId="12" borderId="5" xfId="3" applyNumberFormat="1" applyFont="1" applyFill="1" applyBorder="1"/>
    <xf numFmtId="0" fontId="0" fillId="12" borderId="10" xfId="0" applyFill="1" applyBorder="1"/>
    <xf numFmtId="0" fontId="0" fillId="12" borderId="22" xfId="0" applyFill="1" applyBorder="1"/>
    <xf numFmtId="0" fontId="8" fillId="0" borderId="1" xfId="0" applyFont="1" applyBorder="1"/>
    <xf numFmtId="0" fontId="17" fillId="0" borderId="34" xfId="0" applyFont="1" applyBorder="1" applyAlignment="1">
      <alignment vertical="center"/>
    </xf>
    <xf numFmtId="0" fontId="17" fillId="0" borderId="34" xfId="0" applyFont="1" applyBorder="1" applyAlignment="1">
      <alignment horizontal="left" vertical="center"/>
    </xf>
    <xf numFmtId="0" fontId="17" fillId="0" borderId="34" xfId="0" applyFont="1" applyBorder="1" applyAlignment="1">
      <alignment horizontal="left"/>
    </xf>
    <xf numFmtId="2" fontId="0" fillId="12" borderId="11" xfId="3" applyNumberFormat="1" applyFont="1" applyFill="1" applyBorder="1"/>
    <xf numFmtId="0" fontId="7" fillId="0" borderId="1" xfId="0" applyFont="1" applyBorder="1"/>
    <xf numFmtId="165" fontId="3" fillId="5" borderId="1" xfId="2" applyNumberFormat="1" applyFont="1" applyFill="1" applyBorder="1" applyAlignment="1">
      <alignment horizontal="center"/>
    </xf>
    <xf numFmtId="168" fontId="3" fillId="5" borderId="1" xfId="2" applyNumberFormat="1" applyFont="1" applyFill="1" applyBorder="1" applyAlignment="1">
      <alignment horizontal="center"/>
    </xf>
    <xf numFmtId="168" fontId="3" fillId="12" borderId="1" xfId="2" applyNumberFormat="1" applyFont="1" applyFill="1" applyBorder="1" applyAlignment="1">
      <alignment horizontal="center"/>
    </xf>
    <xf numFmtId="165" fontId="3" fillId="12" borderId="1" xfId="2" applyNumberFormat="1" applyFont="1" applyFill="1" applyBorder="1" applyAlignment="1">
      <alignment horizontal="center"/>
    </xf>
    <xf numFmtId="0" fontId="18" fillId="0" borderId="0" xfId="0" applyFont="1"/>
    <xf numFmtId="170" fontId="0" fillId="13" borderId="1" xfId="0" applyNumberFormat="1" applyFill="1" applyBorder="1"/>
    <xf numFmtId="0" fontId="0" fillId="13" borderId="1" xfId="0" applyFill="1" applyBorder="1"/>
    <xf numFmtId="172" fontId="3" fillId="3" borderId="1" xfId="2" applyNumberFormat="1" applyFont="1" applyFill="1" applyBorder="1" applyAlignment="1">
      <alignment horizontal="center"/>
    </xf>
    <xf numFmtId="172" fontId="1" fillId="5" borderId="1" xfId="2" applyNumberFormat="1" applyFont="1" applyFill="1" applyBorder="1" applyAlignment="1">
      <alignment horizontal="center"/>
    </xf>
    <xf numFmtId="2" fontId="0" fillId="12" borderId="8" xfId="3" applyNumberFormat="1" applyFont="1" applyFill="1" applyBorder="1"/>
    <xf numFmtId="0" fontId="11" fillId="0" borderId="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2" fontId="0" fillId="12" borderId="41" xfId="3" applyNumberFormat="1" applyFont="1" applyFill="1" applyBorder="1"/>
    <xf numFmtId="0" fontId="17" fillId="0" borderId="42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9" fontId="0" fillId="12" borderId="44" xfId="3" applyFont="1" applyFill="1" applyBorder="1"/>
    <xf numFmtId="0" fontId="17" fillId="0" borderId="46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8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0" borderId="46" xfId="0" applyFont="1" applyBorder="1"/>
    <xf numFmtId="0" fontId="0" fillId="0" borderId="6" xfId="0" applyBorder="1" applyAlignment="1">
      <alignment horizontal="center" wrapText="1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center"/>
    </xf>
    <xf numFmtId="0" fontId="17" fillId="0" borderId="47" xfId="0" applyFont="1" applyBorder="1" applyAlignment="1">
      <alignment horizontal="left" vertical="center"/>
    </xf>
    <xf numFmtId="0" fontId="0" fillId="0" borderId="6" xfId="0" applyBorder="1"/>
    <xf numFmtId="3" fontId="0" fillId="0" borderId="17" xfId="0" applyNumberFormat="1" applyBorder="1"/>
    <xf numFmtId="3" fontId="0" fillId="0" borderId="12" xfId="0" applyNumberFormat="1" applyBorder="1"/>
    <xf numFmtId="3" fontId="8" fillId="0" borderId="27" xfId="0" applyNumberFormat="1" applyFont="1" applyBorder="1"/>
    <xf numFmtId="3" fontId="0" fillId="0" borderId="26" xfId="0" applyNumberFormat="1" applyBorder="1"/>
    <xf numFmtId="3" fontId="0" fillId="0" borderId="45" xfId="0" applyNumberFormat="1" applyBorder="1"/>
    <xf numFmtId="3" fontId="0" fillId="0" borderId="49" xfId="0" applyNumberFormat="1" applyBorder="1"/>
    <xf numFmtId="3" fontId="0" fillId="0" borderId="25" xfId="0" applyNumberFormat="1" applyBorder="1"/>
    <xf numFmtId="3" fontId="0" fillId="0" borderId="50" xfId="0" applyNumberFormat="1" applyBorder="1"/>
    <xf numFmtId="174" fontId="0" fillId="3" borderId="1" xfId="2" applyNumberFormat="1" applyFont="1" applyFill="1" applyBorder="1"/>
    <xf numFmtId="174" fontId="0" fillId="0" borderId="0" xfId="0" applyNumberFormat="1"/>
    <xf numFmtId="174" fontId="2" fillId="3" borderId="1" xfId="1" applyNumberFormat="1" applyFont="1" applyFill="1" applyBorder="1"/>
    <xf numFmtId="179" fontId="0" fillId="3" borderId="1" xfId="0" applyNumberFormat="1" applyFill="1" applyBorder="1"/>
    <xf numFmtId="4" fontId="0" fillId="3" borderId="1" xfId="0" applyNumberFormat="1" applyFill="1" applyBorder="1"/>
    <xf numFmtId="175" fontId="0" fillId="3" borderId="1" xfId="0" applyNumberFormat="1" applyFill="1" applyBorder="1"/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14" xfId="0" applyFont="1" applyBorder="1"/>
    <xf numFmtId="0" fontId="8" fillId="0" borderId="22" xfId="0" applyFont="1" applyBorder="1"/>
    <xf numFmtId="0" fontId="8" fillId="0" borderId="0" xfId="0" applyFont="1" applyAlignment="1">
      <alignment wrapText="1"/>
    </xf>
    <xf numFmtId="0" fontId="17" fillId="0" borderId="51" xfId="0" applyFont="1" applyBorder="1" applyAlignment="1">
      <alignment vertical="center"/>
    </xf>
    <xf numFmtId="0" fontId="17" fillId="0" borderId="52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31" xfId="0" applyBorder="1" applyAlignment="1">
      <alignment wrapText="1"/>
    </xf>
    <xf numFmtId="9" fontId="0" fillId="12" borderId="34" xfId="3" applyFont="1" applyFill="1" applyBorder="1"/>
    <xf numFmtId="0" fontId="0" fillId="0" borderId="34" xfId="0" applyBorder="1"/>
    <xf numFmtId="0" fontId="0" fillId="0" borderId="53" xfId="0" applyBorder="1" applyAlignment="1">
      <alignment horizontal="center" wrapText="1"/>
    </xf>
    <xf numFmtId="3" fontId="0" fillId="0" borderId="54" xfId="0" applyNumberFormat="1" applyBorder="1"/>
    <xf numFmtId="3" fontId="0" fillId="0" borderId="55" xfId="0" applyNumberFormat="1" applyBorder="1"/>
    <xf numFmtId="2" fontId="0" fillId="0" borderId="25" xfId="3" applyNumberFormat="1" applyFont="1" applyFill="1" applyBorder="1"/>
    <xf numFmtId="3" fontId="8" fillId="0" borderId="7" xfId="0" applyNumberFormat="1" applyFont="1" applyBorder="1"/>
    <xf numFmtId="0" fontId="0" fillId="0" borderId="7" xfId="0" applyBorder="1"/>
    <xf numFmtId="3" fontId="0" fillId="0" borderId="27" xfId="0" applyNumberFormat="1" applyBorder="1"/>
    <xf numFmtId="1" fontId="0" fillId="12" borderId="30" xfId="3" applyNumberFormat="1" applyFont="1" applyFill="1" applyBorder="1"/>
    <xf numFmtId="16" fontId="0" fillId="8" borderId="0" xfId="0" applyNumberFormat="1" applyFill="1" applyAlignment="1">
      <alignment horizontal="center"/>
    </xf>
    <xf numFmtId="44" fontId="0" fillId="0" borderId="1" xfId="2" applyNumberFormat="1" applyFont="1" applyFill="1" applyBorder="1"/>
    <xf numFmtId="174" fontId="0" fillId="0" borderId="1" xfId="2" applyNumberFormat="1" applyFont="1" applyFill="1" applyBorder="1"/>
    <xf numFmtId="2" fontId="0" fillId="12" borderId="1" xfId="0" applyNumberFormat="1" applyFill="1" applyBorder="1"/>
    <xf numFmtId="4" fontId="0" fillId="12" borderId="1" xfId="0" applyNumberFormat="1" applyFill="1" applyBorder="1"/>
    <xf numFmtId="3" fontId="0" fillId="12" borderId="1" xfId="0" applyNumberFormat="1" applyFill="1" applyBorder="1"/>
    <xf numFmtId="175" fontId="0" fillId="12" borderId="1" xfId="0" applyNumberFormat="1" applyFill="1" applyBorder="1"/>
    <xf numFmtId="0" fontId="0" fillId="12" borderId="1" xfId="0" applyFill="1" applyBorder="1"/>
    <xf numFmtId="179" fontId="0" fillId="12" borderId="1" xfId="0" applyNumberFormat="1" applyFill="1" applyBorder="1"/>
    <xf numFmtId="3" fontId="0" fillId="12" borderId="26" xfId="0" applyNumberFormat="1" applyFill="1" applyBorder="1"/>
    <xf numFmtId="9" fontId="0" fillId="0" borderId="41" xfId="3" applyFont="1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" fontId="0" fillId="8" borderId="0" xfId="0" applyNumberFormat="1" applyFill="1" applyAlignment="1">
      <alignment horizontal="center"/>
    </xf>
    <xf numFmtId="15" fontId="0" fillId="0" borderId="4" xfId="0" applyNumberFormat="1" applyBorder="1" applyAlignment="1">
      <alignment horizontal="center"/>
    </xf>
    <xf numFmtId="16" fontId="0" fillId="0" borderId="0" xfId="0" applyNumberFormat="1" applyAlignment="1">
      <alignment horizontal="center"/>
    </xf>
    <xf numFmtId="15" fontId="8" fillId="0" borderId="23" xfId="0" applyNumberFormat="1" applyFont="1" applyBorder="1" applyAlignment="1">
      <alignment horizontal="center"/>
    </xf>
    <xf numFmtId="15" fontId="8" fillId="0" borderId="7" xfId="0" applyNumberFormat="1" applyFont="1" applyBorder="1" applyAlignment="1">
      <alignment horizontal="center"/>
    </xf>
    <xf numFmtId="15" fontId="8" fillId="0" borderId="6" xfId="0" applyNumberFormat="1" applyFont="1" applyBorder="1" applyAlignment="1">
      <alignment horizontal="center"/>
    </xf>
    <xf numFmtId="16" fontId="2" fillId="3" borderId="10" xfId="0" applyNumberFormat="1" applyFont="1" applyFill="1" applyBorder="1" applyAlignment="1">
      <alignment horizontal="center" vertical="center"/>
    </xf>
    <xf numFmtId="16" fontId="2" fillId="3" borderId="35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/>
    <xf numFmtId="0" fontId="0" fillId="14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tock%20@%2031%20March%202026.xlsx" TargetMode="External"/><Relationship Id="rId2" Type="http://schemas.openxmlformats.org/officeDocument/2006/relationships/externalLinkPath" Target="file:///G:\Shared%20drives\Stock%20&amp;%20Raw%20Material\Stock%20@%2031%20March%202026.xlsx" TargetMode="External"/><Relationship Id="rId1" Type="http://schemas.openxmlformats.org/officeDocument/2006/relationships/externalLinkPath" Target="/Shared%20drives/Stock%20&amp;%20Raw%20Material/Stock%20@%2031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Dublin"/>
      <sheetName val="Clonmel "/>
    </sheetNames>
    <sheetDataSet>
      <sheetData sheetId="0" refreshError="1"/>
      <sheetData sheetId="1">
        <row r="3">
          <cell r="E3">
            <v>890</v>
          </cell>
        </row>
        <row r="4">
          <cell r="E4">
            <v>930</v>
          </cell>
        </row>
        <row r="5">
          <cell r="E5">
            <v>930</v>
          </cell>
        </row>
        <row r="6">
          <cell r="E6">
            <v>1125</v>
          </cell>
        </row>
        <row r="7">
          <cell r="E7">
            <v>885</v>
          </cell>
        </row>
        <row r="8">
          <cell r="E8">
            <v>450</v>
          </cell>
        </row>
        <row r="9">
          <cell r="E9">
            <v>173.29</v>
          </cell>
        </row>
        <row r="10">
          <cell r="E10">
            <v>33.090000000000003</v>
          </cell>
        </row>
        <row r="11">
          <cell r="E11">
            <v>1310</v>
          </cell>
        </row>
        <row r="12">
          <cell r="E12"/>
        </row>
        <row r="13">
          <cell r="E13">
            <v>790</v>
          </cell>
        </row>
        <row r="16">
          <cell r="E16">
            <v>17.5</v>
          </cell>
        </row>
        <row r="17">
          <cell r="E17">
            <v>25</v>
          </cell>
        </row>
        <row r="18">
          <cell r="E18">
            <v>20</v>
          </cell>
        </row>
        <row r="19">
          <cell r="E19">
            <v>95</v>
          </cell>
        </row>
        <row r="20">
          <cell r="E20"/>
        </row>
        <row r="21">
          <cell r="E21">
            <v>125</v>
          </cell>
        </row>
        <row r="22">
          <cell r="E22">
            <v>50</v>
          </cell>
        </row>
        <row r="23">
          <cell r="E23">
            <v>40</v>
          </cell>
        </row>
        <row r="24">
          <cell r="E24">
            <v>40</v>
          </cell>
        </row>
        <row r="25">
          <cell r="E25">
            <v>125</v>
          </cell>
        </row>
        <row r="26">
          <cell r="E26">
            <v>150</v>
          </cell>
        </row>
        <row r="27">
          <cell r="E27">
            <v>45</v>
          </cell>
        </row>
        <row r="28">
          <cell r="E28">
            <v>55</v>
          </cell>
        </row>
        <row r="29">
          <cell r="E29">
            <v>20</v>
          </cell>
        </row>
        <row r="30">
          <cell r="E30">
            <v>22.5</v>
          </cell>
        </row>
        <row r="31">
          <cell r="E31"/>
        </row>
        <row r="32">
          <cell r="E32">
            <v>15</v>
          </cell>
        </row>
        <row r="33">
          <cell r="E33">
            <v>2252.8000000000002</v>
          </cell>
        </row>
        <row r="34">
          <cell r="E34">
            <v>65</v>
          </cell>
        </row>
        <row r="35">
          <cell r="E35">
            <v>15</v>
          </cell>
        </row>
        <row r="36">
          <cell r="E36">
            <v>12</v>
          </cell>
        </row>
        <row r="37">
          <cell r="E37">
            <v>3.6</v>
          </cell>
        </row>
        <row r="38">
          <cell r="E38">
            <v>3.75</v>
          </cell>
        </row>
        <row r="39">
          <cell r="E39">
            <v>1.85</v>
          </cell>
        </row>
        <row r="40">
          <cell r="E40">
            <v>82.5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3</v>
          </cell>
        </row>
        <row r="45">
          <cell r="E45">
            <v>350</v>
          </cell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>
            <v>81</v>
          </cell>
        </row>
        <row r="52">
          <cell r="E52">
            <v>81</v>
          </cell>
        </row>
        <row r="53">
          <cell r="E53">
            <v>81</v>
          </cell>
        </row>
        <row r="54">
          <cell r="E54">
            <v>81</v>
          </cell>
        </row>
        <row r="55">
          <cell r="E55">
            <v>81</v>
          </cell>
        </row>
        <row r="56">
          <cell r="E56">
            <v>137.11000000000001</v>
          </cell>
        </row>
        <row r="57">
          <cell r="E57">
            <v>135</v>
          </cell>
        </row>
        <row r="58">
          <cell r="E58">
            <v>138.51</v>
          </cell>
        </row>
        <row r="59">
          <cell r="E59">
            <v>138.51</v>
          </cell>
        </row>
        <row r="60">
          <cell r="E60">
            <v>139.9</v>
          </cell>
        </row>
        <row r="61">
          <cell r="E61">
            <v>115</v>
          </cell>
        </row>
        <row r="62">
          <cell r="E62">
            <v>139.9</v>
          </cell>
        </row>
        <row r="63">
          <cell r="E63"/>
        </row>
        <row r="64">
          <cell r="E64"/>
        </row>
        <row r="65">
          <cell r="E65">
            <v>163.16</v>
          </cell>
        </row>
        <row r="66">
          <cell r="E66">
            <v>115</v>
          </cell>
        </row>
        <row r="67">
          <cell r="E67">
            <v>145.21</v>
          </cell>
        </row>
        <row r="68">
          <cell r="E68">
            <v>145.21</v>
          </cell>
        </row>
        <row r="69">
          <cell r="E69">
            <v>139.9</v>
          </cell>
        </row>
        <row r="70">
          <cell r="E70">
            <v>165.92</v>
          </cell>
        </row>
        <row r="71">
          <cell r="E71">
            <v>160.72999999999999</v>
          </cell>
        </row>
        <row r="72">
          <cell r="E72">
            <v>138.51</v>
          </cell>
        </row>
        <row r="73">
          <cell r="E73">
            <v>155.55000000000001</v>
          </cell>
        </row>
        <row r="74">
          <cell r="E74">
            <v>175.46</v>
          </cell>
        </row>
        <row r="75">
          <cell r="E75">
            <v>138.51</v>
          </cell>
        </row>
        <row r="76">
          <cell r="E76">
            <v>3.1</v>
          </cell>
        </row>
        <row r="77">
          <cell r="E77">
            <v>142.63999999999999</v>
          </cell>
        </row>
        <row r="78">
          <cell r="E78">
            <v>311.43</v>
          </cell>
        </row>
        <row r="79">
          <cell r="E79">
            <v>253</v>
          </cell>
        </row>
        <row r="80">
          <cell r="E80">
            <v>45.2</v>
          </cell>
        </row>
        <row r="81">
          <cell r="E81">
            <v>292</v>
          </cell>
        </row>
        <row r="82">
          <cell r="E82">
            <v>21.04</v>
          </cell>
        </row>
        <row r="83">
          <cell r="E83">
            <v>21.04</v>
          </cell>
        </row>
        <row r="84">
          <cell r="E84">
            <v>41.5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rthur barlow" id="{BA665DE4-8701-484D-BCD0-26673F6D982E}" userId="9156828210cbf4c7" providerId="Windows Live"/>
  <person displayName="M Mcloughlin" id="{C023EDE2-3967-431E-A74C-045E85C540B7}" userId="ba9e67f38dd3c698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3-04-07T16:01:08.27" personId="{BA665DE4-8701-484D-BCD0-26673F6D982E}" id="{19BC14C5-4526-40D2-82AE-FC02798904C2}">
    <text>Chk with Maceij what this is for?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6" dT="2023-10-26T14:29:59.39" personId="{C023EDE2-3967-431E-A74C-045E85C540B7}" id="{2A629F2F-D6AA-407B-ADF9-C747A8EB4D87}">
    <text>Was €450 - Change to 635 for Oct-23</text>
  </threadedComment>
  <threadedComment ref="E19" dT="2024-11-07T17:51:22.96" personId="{BA665DE4-8701-484D-BCD0-26673F6D982E}" id="{48819693-E2F1-454F-A281-51D53D40B298}">
    <text>Updated Nov-24 with Avg. FX rate for 2024</text>
  </threadedComment>
  <threadedComment ref="E21" dT="2024-11-07T17:51:42.04" personId="{BA665DE4-8701-484D-BCD0-26673F6D982E}" id="{4CA37955-A454-0947-AF0B-CB7FD61C5EF6}">
    <text>Updated Nov-24 with Avg. FX rate for 2024</text>
  </threadedComment>
  <threadedComment ref="E27" dT="2023-10-26T14:29:23.28" personId="{C023EDE2-3967-431E-A74C-045E85C540B7}" id="{24C730A5-7805-455F-B5F1-DDF6ACA92459}">
    <text>Was €560 - Change to 885 for Oct-23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1485-90F6-492A-A470-782088CE8DE0}">
  <sheetPr>
    <pageSetUpPr fitToPage="1"/>
  </sheetPr>
  <dimension ref="A1:AT26"/>
  <sheetViews>
    <sheetView workbookViewId="0">
      <selection activeCell="B23" sqref="B23"/>
    </sheetView>
  </sheetViews>
  <sheetFormatPr defaultColWidth="8.69921875" defaultRowHeight="15.6" x14ac:dyDescent="0.3"/>
  <cols>
    <col min="1" max="1" width="31.19921875" bestFit="1" customWidth="1"/>
    <col min="2" max="3" width="10.5" bestFit="1" customWidth="1"/>
    <col min="4" max="14" width="12.69921875" bestFit="1" customWidth="1"/>
    <col min="15" max="23" width="12.69921875" customWidth="1"/>
    <col min="24" max="25" width="10.19921875" bestFit="1" customWidth="1"/>
    <col min="26" max="26" width="12.69921875" customWidth="1"/>
    <col min="27" max="27" width="9.69921875" bestFit="1" customWidth="1"/>
    <col min="28" max="29" width="10.19921875" bestFit="1" customWidth="1"/>
    <col min="30" max="30" width="9.69921875" bestFit="1" customWidth="1"/>
    <col min="31" max="31" width="12.69921875" bestFit="1" customWidth="1"/>
    <col min="32" max="32" width="10.69921875" customWidth="1"/>
    <col min="33" max="36" width="12.69921875" bestFit="1" customWidth="1"/>
    <col min="37" max="37" width="11.69921875" bestFit="1" customWidth="1"/>
    <col min="38" max="39" width="12.69921875" bestFit="1" customWidth="1"/>
    <col min="40" max="42" width="11.69921875" bestFit="1" customWidth="1"/>
    <col min="43" max="43" width="3.69921875" customWidth="1"/>
    <col min="44" max="46" width="12.69921875" bestFit="1" customWidth="1"/>
  </cols>
  <sheetData>
    <row r="1" spans="1:46" x14ac:dyDescent="0.3">
      <c r="A1" s="14" t="s">
        <v>72</v>
      </c>
      <c r="B1" s="15" t="s">
        <v>220</v>
      </c>
      <c r="C1" s="15">
        <v>45961</v>
      </c>
      <c r="D1" s="15">
        <v>45930</v>
      </c>
      <c r="E1" s="15">
        <v>45900</v>
      </c>
      <c r="F1" s="15">
        <v>45869</v>
      </c>
      <c r="G1" s="15">
        <v>45838</v>
      </c>
      <c r="H1" s="15">
        <v>45808</v>
      </c>
      <c r="I1" s="15">
        <v>45777</v>
      </c>
      <c r="J1" s="15">
        <v>45747</v>
      </c>
      <c r="K1" s="15">
        <v>45716</v>
      </c>
      <c r="L1" s="15">
        <v>45688</v>
      </c>
      <c r="M1" s="15">
        <v>45657</v>
      </c>
      <c r="N1" s="15">
        <v>45626</v>
      </c>
      <c r="O1" s="15">
        <v>45596</v>
      </c>
      <c r="P1" s="15">
        <v>45565</v>
      </c>
      <c r="Q1" s="15">
        <v>45535</v>
      </c>
      <c r="R1" s="15">
        <v>45504</v>
      </c>
      <c r="S1" s="15">
        <v>45473</v>
      </c>
      <c r="T1" s="15">
        <v>45443</v>
      </c>
      <c r="U1" s="15">
        <v>45412</v>
      </c>
      <c r="V1" s="15">
        <v>45382</v>
      </c>
      <c r="W1" s="15">
        <v>45351</v>
      </c>
      <c r="X1" s="15">
        <v>45322</v>
      </c>
      <c r="Y1" s="15">
        <v>45291</v>
      </c>
      <c r="Z1" s="15">
        <v>45260</v>
      </c>
      <c r="AA1" s="15">
        <v>45230</v>
      </c>
      <c r="AB1" s="15">
        <v>45199</v>
      </c>
      <c r="AC1" s="15">
        <v>45169</v>
      </c>
      <c r="AD1" s="15">
        <v>45138</v>
      </c>
      <c r="AE1" s="15">
        <v>45107</v>
      </c>
      <c r="AF1" s="15">
        <v>45077</v>
      </c>
      <c r="AG1" s="15">
        <v>45046</v>
      </c>
      <c r="AH1" s="15">
        <v>45016</v>
      </c>
      <c r="AI1" s="15">
        <v>44985</v>
      </c>
      <c r="AJ1" s="15">
        <v>44957</v>
      </c>
      <c r="AK1" s="15">
        <v>44926</v>
      </c>
      <c r="AL1" s="16">
        <v>44802</v>
      </c>
      <c r="AM1" s="17">
        <v>44742</v>
      </c>
      <c r="AN1" s="17">
        <v>44712</v>
      </c>
      <c r="AO1" s="17">
        <v>44286</v>
      </c>
      <c r="AP1" s="17">
        <v>44561</v>
      </c>
      <c r="AQ1" s="18"/>
      <c r="AR1" s="19">
        <v>44377</v>
      </c>
      <c r="AS1" s="19">
        <v>44012</v>
      </c>
      <c r="AT1" s="19">
        <v>43646</v>
      </c>
    </row>
    <row r="2" spans="1:46" x14ac:dyDescent="0.3">
      <c r="B2" s="20" t="s">
        <v>73</v>
      </c>
      <c r="C2" s="20" t="s">
        <v>73</v>
      </c>
      <c r="D2" s="20" t="s">
        <v>73</v>
      </c>
      <c r="E2" s="20" t="s">
        <v>73</v>
      </c>
      <c r="F2" s="20" t="s">
        <v>73</v>
      </c>
      <c r="G2" s="20" t="s">
        <v>73</v>
      </c>
      <c r="H2" s="20" t="s">
        <v>73</v>
      </c>
      <c r="I2" s="20" t="s">
        <v>73</v>
      </c>
      <c r="J2" s="20" t="s">
        <v>73</v>
      </c>
      <c r="K2" s="20" t="s">
        <v>73</v>
      </c>
      <c r="L2" s="20" t="s">
        <v>73</v>
      </c>
      <c r="M2" s="20" t="s">
        <v>73</v>
      </c>
      <c r="N2" s="20" t="s">
        <v>73</v>
      </c>
      <c r="O2" s="20" t="s">
        <v>73</v>
      </c>
      <c r="P2" s="20" t="s">
        <v>73</v>
      </c>
      <c r="Q2" s="20" t="s">
        <v>73</v>
      </c>
      <c r="R2" s="20" t="s">
        <v>73</v>
      </c>
      <c r="S2" s="20" t="s">
        <v>73</v>
      </c>
      <c r="T2" s="20" t="s">
        <v>73</v>
      </c>
      <c r="U2" s="20" t="s">
        <v>73</v>
      </c>
      <c r="V2" s="20" t="s">
        <v>73</v>
      </c>
      <c r="W2" s="20" t="s">
        <v>73</v>
      </c>
      <c r="X2" s="20" t="s">
        <v>73</v>
      </c>
      <c r="Y2" s="20" t="s">
        <v>73</v>
      </c>
      <c r="Z2" s="20" t="s">
        <v>73</v>
      </c>
      <c r="AA2" s="20" t="s">
        <v>73</v>
      </c>
      <c r="AB2" s="20" t="s">
        <v>73</v>
      </c>
      <c r="AC2" s="20" t="s">
        <v>73</v>
      </c>
      <c r="AD2" s="20" t="s">
        <v>73</v>
      </c>
      <c r="AE2" s="20" t="s">
        <v>73</v>
      </c>
      <c r="AF2" s="20" t="s">
        <v>73</v>
      </c>
      <c r="AG2" s="20" t="s">
        <v>73</v>
      </c>
      <c r="AH2" s="20" t="s">
        <v>73</v>
      </c>
      <c r="AI2" s="20" t="s">
        <v>73</v>
      </c>
      <c r="AJ2" s="20" t="s">
        <v>73</v>
      </c>
      <c r="AK2" s="20" t="s">
        <v>73</v>
      </c>
      <c r="AL2" s="21" t="s">
        <v>73</v>
      </c>
      <c r="AM2" s="22" t="s">
        <v>73</v>
      </c>
      <c r="AN2" s="22" t="s">
        <v>73</v>
      </c>
      <c r="AO2" s="22" t="s">
        <v>73</v>
      </c>
      <c r="AP2" s="22" t="s">
        <v>73</v>
      </c>
      <c r="AQ2" s="18"/>
      <c r="AR2" s="23" t="s">
        <v>74</v>
      </c>
      <c r="AS2" s="23" t="s">
        <v>74</v>
      </c>
      <c r="AT2" s="23" t="s">
        <v>74</v>
      </c>
    </row>
    <row r="3" spans="1:46" x14ac:dyDescent="0.3">
      <c r="A3" t="s">
        <v>75</v>
      </c>
      <c r="B3" s="52">
        <f>+'Clonmel '!AE72</f>
        <v>104846.21970588235</v>
      </c>
      <c r="C3" s="52">
        <v>108197</v>
      </c>
      <c r="D3" s="52">
        <v>113561</v>
      </c>
      <c r="E3" s="52">
        <v>125595</v>
      </c>
      <c r="F3" s="52">
        <v>135797</v>
      </c>
      <c r="G3" s="52">
        <v>133785.39294117648</v>
      </c>
      <c r="H3" s="52">
        <v>107568.62352941178</v>
      </c>
      <c r="I3" s="52">
        <v>94880</v>
      </c>
      <c r="J3" s="52">
        <v>109489</v>
      </c>
      <c r="K3" s="52">
        <v>109373</v>
      </c>
      <c r="L3" s="52">
        <v>106972.55235294117</v>
      </c>
      <c r="M3" s="52">
        <v>132239.18529411766</v>
      </c>
      <c r="N3" s="52">
        <v>140595.61705882355</v>
      </c>
      <c r="O3" s="52">
        <v>141061.21294117646</v>
      </c>
      <c r="P3" s="52">
        <v>157347.33482758622</v>
      </c>
      <c r="Q3" s="52">
        <v>106046.2348275862</v>
      </c>
      <c r="R3" s="52">
        <v>114928.93137931034</v>
      </c>
      <c r="S3" s="52">
        <v>103349.67999999998</v>
      </c>
      <c r="T3" s="52">
        <v>100535.12586206895</v>
      </c>
      <c r="U3" s="52">
        <v>119256.26689655174</v>
      </c>
      <c r="V3" s="52">
        <v>101772.67689655171</v>
      </c>
      <c r="W3" s="52">
        <v>139801.79793103447</v>
      </c>
      <c r="X3" s="52">
        <v>94023.825862068974</v>
      </c>
      <c r="Y3" s="52">
        <v>79922.805862068955</v>
      </c>
      <c r="Z3" s="52">
        <v>115965.2348275862</v>
      </c>
      <c r="AA3" s="52">
        <v>138732.95517241379</v>
      </c>
      <c r="AB3" s="52">
        <v>100872.14034482761</v>
      </c>
      <c r="AC3" s="52">
        <v>100476.70034482759</v>
      </c>
      <c r="AD3" s="52">
        <v>56398.203103448272</v>
      </c>
      <c r="AE3" s="52">
        <v>94753.328620689645</v>
      </c>
      <c r="AF3" s="52">
        <v>100100</v>
      </c>
      <c r="AG3" s="52">
        <v>58025</v>
      </c>
      <c r="AH3" s="52">
        <v>93755</v>
      </c>
      <c r="AI3" s="52">
        <v>84571</v>
      </c>
      <c r="AJ3" s="52">
        <v>113550</v>
      </c>
      <c r="AK3" s="52" t="e">
        <f>'Clonmel '!#REF!</f>
        <v>#REF!</v>
      </c>
      <c r="AL3" s="52">
        <v>92760</v>
      </c>
      <c r="AM3" s="52">
        <v>97098</v>
      </c>
      <c r="AN3" s="52">
        <v>53770</v>
      </c>
      <c r="AO3" s="52">
        <v>60302.5</v>
      </c>
      <c r="AP3" s="52">
        <v>66837.924833059646</v>
      </c>
      <c r="AQ3" s="60"/>
      <c r="AR3" s="52">
        <v>84608</v>
      </c>
      <c r="AS3" s="61">
        <v>131937.66866666666</v>
      </c>
      <c r="AT3" s="52">
        <v>99087.5</v>
      </c>
    </row>
    <row r="4" spans="1:46" x14ac:dyDescent="0.3">
      <c r="A4" t="s">
        <v>76</v>
      </c>
      <c r="B4" s="52">
        <f>+Dublin!T86</f>
        <v>45421.085000000014</v>
      </c>
      <c r="C4" s="52">
        <v>47350</v>
      </c>
      <c r="D4" s="52">
        <v>56917</v>
      </c>
      <c r="E4" s="52">
        <v>50926</v>
      </c>
      <c r="F4" s="52">
        <v>51975</v>
      </c>
      <c r="G4" s="52">
        <v>61990.17</v>
      </c>
      <c r="H4" s="52">
        <v>59066.794999999991</v>
      </c>
      <c r="I4" s="52">
        <v>57285</v>
      </c>
      <c r="J4" s="52">
        <v>47926</v>
      </c>
      <c r="K4" s="52">
        <v>51267</v>
      </c>
      <c r="L4" s="52">
        <v>45472.792499999996</v>
      </c>
      <c r="M4" s="52">
        <v>47311</v>
      </c>
      <c r="N4" s="52">
        <v>47939.319999999985</v>
      </c>
      <c r="O4" s="52">
        <v>48777.94</v>
      </c>
      <c r="P4" s="52">
        <v>59098.93</v>
      </c>
      <c r="Q4" s="52">
        <v>51641.014999999992</v>
      </c>
      <c r="R4" s="52">
        <v>80255.89499999999</v>
      </c>
      <c r="S4" s="52">
        <v>62873.280000000013</v>
      </c>
      <c r="T4" s="52">
        <v>56989.710000000006</v>
      </c>
      <c r="U4" s="52">
        <v>71342.11500000002</v>
      </c>
      <c r="V4" s="52">
        <v>55712.41</v>
      </c>
      <c r="W4" s="52">
        <v>46125.445</v>
      </c>
      <c r="X4" s="52">
        <v>48360.75</v>
      </c>
      <c r="Y4" s="52">
        <v>31502.815000000002</v>
      </c>
      <c r="Z4" s="52">
        <v>38084.839999999989</v>
      </c>
      <c r="AA4" s="52">
        <v>51351.57</v>
      </c>
      <c r="AB4" s="52">
        <v>37183.39</v>
      </c>
      <c r="AC4" s="52">
        <v>43436.555</v>
      </c>
      <c r="AD4" s="52">
        <v>43150.319999999992</v>
      </c>
      <c r="AE4" s="52">
        <v>52976.124999999993</v>
      </c>
      <c r="AF4" s="52">
        <v>48469</v>
      </c>
      <c r="AG4" s="52">
        <v>45475</v>
      </c>
      <c r="AH4" s="52">
        <v>32076</v>
      </c>
      <c r="AI4" s="52">
        <v>36342</v>
      </c>
      <c r="AJ4" s="52">
        <v>42096</v>
      </c>
      <c r="AK4" s="52">
        <v>42853</v>
      </c>
      <c r="AL4" s="52">
        <v>28239</v>
      </c>
      <c r="AM4" s="52">
        <v>38870</v>
      </c>
      <c r="AN4" s="52">
        <v>20970.586046511628</v>
      </c>
      <c r="AO4" s="52">
        <v>32914.156744186039</v>
      </c>
      <c r="AP4" s="52" t="e">
        <f>Dublin!#REF!</f>
        <v>#REF!</v>
      </c>
      <c r="AQ4" s="60"/>
      <c r="AR4" s="52">
        <v>50000</v>
      </c>
      <c r="AS4" s="62">
        <v>49952.5</v>
      </c>
      <c r="AT4" s="52">
        <v>34400</v>
      </c>
    </row>
    <row r="5" spans="1:46" ht="16.2" thickBot="1" x14ac:dyDescent="0.35">
      <c r="A5" t="s">
        <v>77</v>
      </c>
      <c r="B5" s="63">
        <f t="shared" ref="B5:C5" si="0">B3+B4</f>
        <v>150267.30470588236</v>
      </c>
      <c r="C5" s="63">
        <f t="shared" si="0"/>
        <v>155547</v>
      </c>
      <c r="D5" s="63">
        <f t="shared" ref="D5:E5" si="1">D3+D4</f>
        <v>170478</v>
      </c>
      <c r="E5" s="63">
        <f t="shared" si="1"/>
        <v>176521</v>
      </c>
      <c r="F5" s="63">
        <f t="shared" ref="F5:H5" si="2">F3+F4</f>
        <v>187772</v>
      </c>
      <c r="G5" s="63">
        <f t="shared" si="2"/>
        <v>195775.56294117647</v>
      </c>
      <c r="H5" s="63">
        <f t="shared" si="2"/>
        <v>166635.41852941178</v>
      </c>
      <c r="I5" s="63">
        <f t="shared" ref="I5:J5" si="3">I3+I4</f>
        <v>152165</v>
      </c>
      <c r="J5" s="63">
        <f t="shared" si="3"/>
        <v>157415</v>
      </c>
      <c r="K5" s="63">
        <f t="shared" ref="K5:L5" si="4">K3+K4</f>
        <v>160640</v>
      </c>
      <c r="L5" s="63">
        <f t="shared" si="4"/>
        <v>152445.34485294117</v>
      </c>
      <c r="M5" s="63">
        <f t="shared" ref="M5:O5" si="5">M3+M4</f>
        <v>179550.18529411766</v>
      </c>
      <c r="N5" s="63">
        <f t="shared" si="5"/>
        <v>188534.93705882353</v>
      </c>
      <c r="O5" s="63">
        <f t="shared" si="5"/>
        <v>189839.15294117646</v>
      </c>
      <c r="P5" s="63">
        <f t="shared" ref="P5:R5" si="6">P3+P4</f>
        <v>216446.26482758622</v>
      </c>
      <c r="Q5" s="63">
        <f t="shared" si="6"/>
        <v>157687.2498275862</v>
      </c>
      <c r="R5" s="63">
        <f t="shared" si="6"/>
        <v>195184.82637931034</v>
      </c>
      <c r="S5" s="63">
        <f t="shared" ref="S5:U5" si="7">S3+S4</f>
        <v>166222.96</v>
      </c>
      <c r="T5" s="63">
        <f t="shared" si="7"/>
        <v>157524.83586206895</v>
      </c>
      <c r="U5" s="63">
        <f t="shared" si="7"/>
        <v>190598.38189655176</v>
      </c>
      <c r="V5" s="63">
        <f t="shared" ref="V5" si="8">V3+V4</f>
        <v>157485.08689655171</v>
      </c>
      <c r="W5" s="63">
        <f t="shared" ref="W5:X5" si="9">W3+W4</f>
        <v>185927.24293103447</v>
      </c>
      <c r="X5" s="63">
        <f t="shared" si="9"/>
        <v>142384.57586206897</v>
      </c>
      <c r="Y5" s="63">
        <f t="shared" ref="Y5" si="10">Y3+Y4</f>
        <v>111425.62086206896</v>
      </c>
      <c r="Z5" s="63">
        <f t="shared" ref="Z5:AA5" si="11">Z3+Z4</f>
        <v>154050.07482758618</v>
      </c>
      <c r="AA5" s="63">
        <f t="shared" si="11"/>
        <v>190084.52517241379</v>
      </c>
      <c r="AB5" s="63">
        <f t="shared" ref="AB5:AG5" si="12">AB3+AB4</f>
        <v>138055.53034482762</v>
      </c>
      <c r="AC5" s="63">
        <f t="shared" si="12"/>
        <v>143913.2553448276</v>
      </c>
      <c r="AD5" s="63">
        <f t="shared" si="12"/>
        <v>99548.523103448271</v>
      </c>
      <c r="AE5" s="63">
        <f t="shared" si="12"/>
        <v>147729.45362068963</v>
      </c>
      <c r="AF5" s="63">
        <f t="shared" si="12"/>
        <v>148569</v>
      </c>
      <c r="AG5" s="63">
        <f t="shared" si="12"/>
        <v>103500</v>
      </c>
      <c r="AH5" s="63">
        <f t="shared" ref="AH5:AJ5" si="13">AH3+AH4</f>
        <v>125831</v>
      </c>
      <c r="AI5" s="63">
        <f t="shared" si="13"/>
        <v>120913</v>
      </c>
      <c r="AJ5" s="63">
        <f t="shared" si="13"/>
        <v>155646</v>
      </c>
      <c r="AK5" s="63" t="e">
        <f t="shared" ref="AK5:AP5" si="14">AK3+AK4</f>
        <v>#REF!</v>
      </c>
      <c r="AL5" s="63">
        <f t="shared" si="14"/>
        <v>120999</v>
      </c>
      <c r="AM5" s="63">
        <f t="shared" si="14"/>
        <v>135968</v>
      </c>
      <c r="AN5" s="63">
        <f t="shared" si="14"/>
        <v>74740.586046511628</v>
      </c>
      <c r="AO5" s="63">
        <f t="shared" si="14"/>
        <v>93216.656744186039</v>
      </c>
      <c r="AP5" s="63" t="e">
        <f t="shared" si="14"/>
        <v>#REF!</v>
      </c>
      <c r="AQ5" s="64"/>
      <c r="AR5" s="63">
        <f>AR3+AR4</f>
        <v>134608</v>
      </c>
      <c r="AS5" s="63">
        <f>AS3+AS4</f>
        <v>181890.16866666666</v>
      </c>
      <c r="AT5" s="63">
        <f>AT3+AT4</f>
        <v>133487.5</v>
      </c>
    </row>
    <row r="6" spans="1:46" x14ac:dyDescent="0.3">
      <c r="A6" s="24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6"/>
      <c r="AR6" s="65"/>
      <c r="AS6" s="52"/>
      <c r="AT6" s="52"/>
    </row>
    <row r="7" spans="1:46" x14ac:dyDescent="0.3">
      <c r="A7" t="s">
        <v>104</v>
      </c>
      <c r="B7" s="52">
        <f t="shared" ref="B7:D7" si="15">+B5-C5</f>
        <v>-5279.6952941176423</v>
      </c>
      <c r="C7" s="52">
        <f t="shared" si="15"/>
        <v>-14931</v>
      </c>
      <c r="D7" s="52">
        <f t="shared" si="15"/>
        <v>-6043</v>
      </c>
      <c r="E7" s="52">
        <v>11251</v>
      </c>
      <c r="F7" s="52">
        <f t="shared" ref="F7:H7" si="16">+F5-G5</f>
        <v>-8003.5629411764676</v>
      </c>
      <c r="G7" s="52">
        <f t="shared" si="16"/>
        <v>29140.14441176469</v>
      </c>
      <c r="H7" s="52">
        <f t="shared" si="16"/>
        <v>14470.418529411778</v>
      </c>
      <c r="I7" s="52">
        <f>+I5-J5</f>
        <v>-5250</v>
      </c>
      <c r="J7" s="52">
        <f t="shared" ref="J7:K7" si="17">+J5-K5</f>
        <v>-3225</v>
      </c>
      <c r="K7" s="52">
        <f t="shared" si="17"/>
        <v>8194.6551470588311</v>
      </c>
      <c r="L7" s="52">
        <v>-27137.690441176499</v>
      </c>
      <c r="M7" s="52">
        <v>-7788.7217647058715</v>
      </c>
      <c r="N7" s="52">
        <v>-1304.2158823529317</v>
      </c>
      <c r="O7" s="52">
        <v>-27802.811886409734</v>
      </c>
      <c r="P7" s="52">
        <f>+P5-Q5</f>
        <v>58759.015000000014</v>
      </c>
      <c r="Q7" s="52">
        <f t="shared" ref="Q7:S7" si="18">+Q5-R5</f>
        <v>-37497.576551724138</v>
      </c>
      <c r="R7" s="52">
        <f t="shared" si="18"/>
        <v>28961.866379310348</v>
      </c>
      <c r="S7" s="52">
        <f t="shared" si="18"/>
        <v>8698.1241379310377</v>
      </c>
      <c r="T7" s="52">
        <f t="shared" ref="T7" si="19">+T5-U5</f>
        <v>-33073.546034482802</v>
      </c>
      <c r="U7" s="52">
        <f t="shared" ref="U7" si="20">+U5-V5</f>
        <v>33113.295000000042</v>
      </c>
      <c r="V7" s="52">
        <f t="shared" ref="V7:AA7" si="21">+V5-W5</f>
        <v>-28442.156034482759</v>
      </c>
      <c r="W7" s="52">
        <f t="shared" si="21"/>
        <v>43542.6670689655</v>
      </c>
      <c r="X7" s="52">
        <f t="shared" si="21"/>
        <v>30958.955000000016</v>
      </c>
      <c r="Y7" s="52">
        <f t="shared" si="21"/>
        <v>-42624.453965517227</v>
      </c>
      <c r="Z7" s="52">
        <f t="shared" si="21"/>
        <v>-36034.450344827608</v>
      </c>
      <c r="AA7" s="52">
        <f t="shared" si="21"/>
        <v>52028.994827586168</v>
      </c>
      <c r="AB7" s="52">
        <f t="shared" ref="AB7:AK7" si="22">+AB5-AC5</f>
        <v>-5857.7249999999767</v>
      </c>
      <c r="AC7" s="52">
        <f t="shared" si="22"/>
        <v>44364.73224137933</v>
      </c>
      <c r="AD7" s="52">
        <f t="shared" si="22"/>
        <v>-48180.930517241359</v>
      </c>
      <c r="AE7" s="52">
        <f t="shared" si="22"/>
        <v>-839.54637931036996</v>
      </c>
      <c r="AF7" s="52">
        <f t="shared" si="22"/>
        <v>45069</v>
      </c>
      <c r="AG7" s="52">
        <f t="shared" si="22"/>
        <v>-22331</v>
      </c>
      <c r="AH7" s="52">
        <f t="shared" si="22"/>
        <v>4918</v>
      </c>
      <c r="AI7" s="52">
        <f t="shared" si="22"/>
        <v>-34733</v>
      </c>
      <c r="AJ7" s="52" t="e">
        <f t="shared" si="22"/>
        <v>#REF!</v>
      </c>
      <c r="AK7" s="52" t="e">
        <f t="shared" si="22"/>
        <v>#REF!</v>
      </c>
      <c r="AL7" s="52"/>
      <c r="AM7" s="52"/>
      <c r="AN7" s="52"/>
      <c r="AO7" s="52"/>
      <c r="AP7" s="52"/>
      <c r="AQ7" s="52"/>
      <c r="AR7" s="52"/>
      <c r="AS7" s="52"/>
      <c r="AT7" s="52"/>
    </row>
    <row r="8" spans="1:46" x14ac:dyDescent="0.3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</row>
    <row r="9" spans="1:46" x14ac:dyDescent="0.3">
      <c r="A9" t="s">
        <v>119</v>
      </c>
      <c r="B9" s="52">
        <f>+B5-M5</f>
        <v>-29282.880588235304</v>
      </c>
      <c r="C9" s="52">
        <f>+C5-N5</f>
        <v>-32987.937058823532</v>
      </c>
      <c r="D9" s="52">
        <f t="shared" ref="D9" si="23">+D5-P5</f>
        <v>-45968.264827586216</v>
      </c>
      <c r="E9" s="52">
        <v>18833</v>
      </c>
      <c r="F9" s="52">
        <f t="shared" ref="F9:H9" si="24">+F5-R5</f>
        <v>-7412.8263793103397</v>
      </c>
      <c r="G9" s="52">
        <f t="shared" si="24"/>
        <v>29552.602941176476</v>
      </c>
      <c r="H9" s="52">
        <f t="shared" si="24"/>
        <v>9110.5826673428237</v>
      </c>
      <c r="I9" s="52">
        <f>+I5-U5</f>
        <v>-38433.381896551757</v>
      </c>
      <c r="J9" s="52">
        <f t="shared" ref="J9:K9" si="25">+J5-V5</f>
        <v>-70.086896551714744</v>
      </c>
      <c r="K9" s="52">
        <f t="shared" si="25"/>
        <v>-25287.242931034474</v>
      </c>
      <c r="L9" s="52">
        <v>10028.248990872205</v>
      </c>
      <c r="M9" s="52">
        <v>68124.894432048721</v>
      </c>
      <c r="N9" s="52">
        <v>33289.162231237366</v>
      </c>
      <c r="O9" s="52">
        <v>-1441.0722312373109</v>
      </c>
      <c r="P9" s="52">
        <f t="shared" ref="P9:S9" si="26">+P5-AB5</f>
        <v>78390.734482758591</v>
      </c>
      <c r="Q9" s="52">
        <f t="shared" si="26"/>
        <v>13773.9944827586</v>
      </c>
      <c r="R9" s="52">
        <f t="shared" si="26"/>
        <v>95636.303275862068</v>
      </c>
      <c r="S9" s="52">
        <f t="shared" si="26"/>
        <v>18493.506379310362</v>
      </c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</row>
    <row r="10" spans="1:46" x14ac:dyDescent="0.3"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</row>
    <row r="11" spans="1:46" x14ac:dyDescent="0.3">
      <c r="A11" t="s">
        <v>120</v>
      </c>
      <c r="B11" s="52">
        <f t="shared" ref="B11:D12" si="27">+B3-C3</f>
        <v>-3350.7802941176487</v>
      </c>
      <c r="C11" s="52">
        <f t="shared" si="27"/>
        <v>-5364</v>
      </c>
      <c r="D11" s="52">
        <f t="shared" si="27"/>
        <v>-12034</v>
      </c>
      <c r="E11" s="52">
        <v>-10202</v>
      </c>
      <c r="F11" s="52">
        <f t="shared" ref="F11:F12" si="28">+F3-G3</f>
        <v>2011.6070588235161</v>
      </c>
      <c r="G11" s="52">
        <f t="shared" ref="G11:G12" si="29">+G3-H3</f>
        <v>26216.769411764704</v>
      </c>
      <c r="H11" s="52">
        <f t="shared" ref="H11:H12" si="30">+H3-I3</f>
        <v>12688.62352941178</v>
      </c>
      <c r="I11" s="52">
        <f t="shared" ref="I11:K12" si="31">+I3-J3</f>
        <v>-14609</v>
      </c>
      <c r="J11" s="52">
        <f t="shared" si="31"/>
        <v>116</v>
      </c>
      <c r="K11" s="52">
        <f t="shared" si="31"/>
        <v>2400.447647058827</v>
      </c>
      <c r="L11" s="52">
        <v>-25266.632941176489</v>
      </c>
      <c r="M11" s="52">
        <v>-8356.4317647058924</v>
      </c>
      <c r="N11" s="52">
        <v>-465.59588235290721</v>
      </c>
      <c r="O11" s="52">
        <v>-16286.121886409761</v>
      </c>
      <c r="P11" s="52">
        <f>+P3-Q3</f>
        <v>51301.10000000002</v>
      </c>
      <c r="Q11" s="52">
        <f>+Q3-R3</f>
        <v>-8882.6965517241333</v>
      </c>
      <c r="R11" s="52">
        <f>+R3-S3</f>
        <v>11579.251379310357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</row>
    <row r="12" spans="1:46" x14ac:dyDescent="0.3">
      <c r="A12" t="s">
        <v>121</v>
      </c>
      <c r="B12" s="52">
        <f t="shared" si="27"/>
        <v>-1928.9149999999863</v>
      </c>
      <c r="C12" s="52">
        <f t="shared" si="27"/>
        <v>-9567</v>
      </c>
      <c r="D12" s="52">
        <f t="shared" si="27"/>
        <v>5991</v>
      </c>
      <c r="E12" s="52">
        <v>-1049</v>
      </c>
      <c r="F12" s="52">
        <f t="shared" si="28"/>
        <v>-10015.169999999998</v>
      </c>
      <c r="G12" s="52">
        <f t="shared" si="29"/>
        <v>2923.3750000000073</v>
      </c>
      <c r="H12" s="52">
        <f t="shared" si="30"/>
        <v>1781.794999999991</v>
      </c>
      <c r="I12" s="52">
        <f t="shared" si="31"/>
        <v>9359</v>
      </c>
      <c r="J12" s="52">
        <f t="shared" si="31"/>
        <v>-3341</v>
      </c>
      <c r="K12" s="52">
        <f t="shared" si="31"/>
        <v>5794.2075000000041</v>
      </c>
      <c r="L12" s="52">
        <v>-1871.0575000000026</v>
      </c>
      <c r="M12" s="52">
        <v>567.71000000001368</v>
      </c>
      <c r="N12" s="52">
        <v>-838.62000000001717</v>
      </c>
      <c r="O12" s="52">
        <v>-11516.689999999995</v>
      </c>
      <c r="P12" s="52">
        <f t="shared" ref="P12:Q12" si="32">+P4-Q4</f>
        <v>7457.9150000000081</v>
      </c>
      <c r="Q12" s="52">
        <f t="shared" si="32"/>
        <v>-28614.879999999997</v>
      </c>
      <c r="R12" s="52">
        <f>+R4-S4</f>
        <v>17382.614999999976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</row>
    <row r="13" spans="1:46" x14ac:dyDescent="0.3">
      <c r="A13" t="s">
        <v>122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</row>
    <row r="14" spans="1:46" x14ac:dyDescent="0.3">
      <c r="A14" t="s">
        <v>123</v>
      </c>
      <c r="B14" s="52">
        <f t="shared" ref="B14:C14" si="33">SUM(B11:B13)</f>
        <v>-5279.6952941176351</v>
      </c>
      <c r="C14" s="52">
        <f t="shared" si="33"/>
        <v>-14931</v>
      </c>
      <c r="D14" s="52">
        <f t="shared" ref="D14:E14" si="34">SUM(D11:D13)</f>
        <v>-6043</v>
      </c>
      <c r="E14" s="52">
        <f t="shared" si="34"/>
        <v>-11251</v>
      </c>
      <c r="F14" s="52">
        <f t="shared" ref="F14:H14" si="35">SUM(F11:F13)</f>
        <v>-8003.5629411764821</v>
      </c>
      <c r="G14" s="52">
        <f t="shared" si="35"/>
        <v>29140.144411764712</v>
      </c>
      <c r="H14" s="52">
        <f t="shared" si="35"/>
        <v>14470.418529411771</v>
      </c>
      <c r="I14" s="52">
        <f>SUM(I11:I13)</f>
        <v>-5250</v>
      </c>
      <c r="J14" s="52">
        <f>SUM(J11:J13)</f>
        <v>-3225</v>
      </c>
      <c r="K14" s="52">
        <f>SUM(K11:K13)</f>
        <v>8194.6551470588311</v>
      </c>
      <c r="L14" s="52">
        <v>-27137.690441176492</v>
      </c>
      <c r="M14" s="52">
        <v>-7788.7217647058787</v>
      </c>
      <c r="N14" s="52">
        <v>-1304.2158823529244</v>
      </c>
      <c r="O14" s="52">
        <v>-27802.811886409756</v>
      </c>
      <c r="P14" s="52">
        <f>SUM(P11:P13)</f>
        <v>58759.015000000029</v>
      </c>
      <c r="Q14" s="52">
        <f>SUM(Q11:Q13)</f>
        <v>-37497.576551724131</v>
      </c>
      <c r="R14" s="52">
        <f>SUM(R11:R13)</f>
        <v>28961.866379310333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</row>
    <row r="15" spans="1:46" x14ac:dyDescent="0.3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</row>
    <row r="16" spans="1:46" x14ac:dyDescent="0.3">
      <c r="A16" t="s">
        <v>124</v>
      </c>
      <c r="B16" s="52">
        <f t="shared" ref="B16:D16" si="36">+C20</f>
        <v>155551</v>
      </c>
      <c r="C16" s="52">
        <f t="shared" si="36"/>
        <v>170481</v>
      </c>
      <c r="D16" s="52">
        <f t="shared" si="36"/>
        <v>176523</v>
      </c>
      <c r="E16" s="52">
        <v>187773</v>
      </c>
      <c r="F16" s="52">
        <f>+G20</f>
        <v>195776.14441176469</v>
      </c>
      <c r="G16" s="52">
        <v>166635</v>
      </c>
      <c r="H16" s="52">
        <f>+I20</f>
        <v>152166</v>
      </c>
      <c r="I16" s="52">
        <f>+J20</f>
        <v>157415</v>
      </c>
      <c r="J16" s="52">
        <v>160639</v>
      </c>
      <c r="K16" s="52">
        <v>152412</v>
      </c>
      <c r="L16" s="52">
        <v>179549.51529411768</v>
      </c>
      <c r="M16" s="52">
        <v>187339.23705882355</v>
      </c>
      <c r="N16" s="52">
        <v>188643.45294117648</v>
      </c>
      <c r="O16" s="52">
        <v>164952</v>
      </c>
      <c r="P16" s="52">
        <v>164952</v>
      </c>
      <c r="Q16" s="52">
        <v>195627</v>
      </c>
      <c r="R16" s="52">
        <v>159441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</row>
    <row r="17" spans="1:46" x14ac:dyDescent="0.3">
      <c r="A17" t="s">
        <v>125</v>
      </c>
      <c r="B17" s="52">
        <f t="shared" ref="B17:C17" si="37">+B11</f>
        <v>-3350.7802941176487</v>
      </c>
      <c r="C17" s="52">
        <f t="shared" si="37"/>
        <v>-5364</v>
      </c>
      <c r="D17" s="52">
        <f t="shared" ref="D17" si="38">+D11</f>
        <v>-12034</v>
      </c>
      <c r="E17" s="52">
        <v>-10202</v>
      </c>
      <c r="F17" s="52">
        <f t="shared" ref="F17:H17" si="39">+F11</f>
        <v>2011.6070588235161</v>
      </c>
      <c r="G17" s="52">
        <f t="shared" si="39"/>
        <v>26216.769411764704</v>
      </c>
      <c r="H17" s="52">
        <f t="shared" si="39"/>
        <v>12688.62352941178</v>
      </c>
      <c r="I17" s="52">
        <f>+I11</f>
        <v>-14609</v>
      </c>
      <c r="J17" s="52">
        <f>+J11</f>
        <v>116</v>
      </c>
      <c r="K17" s="52">
        <f>+K11</f>
        <v>2400.447647058827</v>
      </c>
      <c r="L17" s="52">
        <v>-25265.632941176489</v>
      </c>
      <c r="M17" s="52">
        <v>-8356.4317647058924</v>
      </c>
      <c r="N17" s="52">
        <v>-465.59588235290721</v>
      </c>
      <c r="O17" s="52">
        <v>-16286.121886409761</v>
      </c>
      <c r="P17" s="52">
        <f t="shared" ref="P17:R18" si="40">+P11</f>
        <v>51301.10000000002</v>
      </c>
      <c r="Q17" s="52">
        <f t="shared" si="40"/>
        <v>-8882.6965517241333</v>
      </c>
      <c r="R17" s="52">
        <f t="shared" si="40"/>
        <v>11579.251379310357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</row>
    <row r="18" spans="1:46" x14ac:dyDescent="0.3">
      <c r="A18" t="s">
        <v>126</v>
      </c>
      <c r="B18" s="52">
        <f t="shared" ref="B18:C18" si="41">+B12+1</f>
        <v>-1927.9149999999863</v>
      </c>
      <c r="C18" s="52">
        <f t="shared" si="41"/>
        <v>-9566</v>
      </c>
      <c r="D18" s="52">
        <f t="shared" ref="D18" si="42">+D12+1</f>
        <v>5992</v>
      </c>
      <c r="E18" s="52">
        <v>-1048</v>
      </c>
      <c r="F18" s="52">
        <f t="shared" ref="F18:H18" si="43">+F12+1</f>
        <v>-10014.169999999998</v>
      </c>
      <c r="G18" s="52">
        <f t="shared" si="43"/>
        <v>2924.3750000000073</v>
      </c>
      <c r="H18" s="52">
        <f t="shared" si="43"/>
        <v>1782.794999999991</v>
      </c>
      <c r="I18" s="52">
        <f>+I12+1</f>
        <v>9360</v>
      </c>
      <c r="J18" s="52">
        <f>+J12+1</f>
        <v>-3340</v>
      </c>
      <c r="K18" s="52">
        <f>+K12</f>
        <v>5794.2075000000041</v>
      </c>
      <c r="L18" s="52">
        <v>-1871.0575000000026</v>
      </c>
      <c r="M18" s="52">
        <v>567.71000000001368</v>
      </c>
      <c r="N18" s="52">
        <v>-838.62000000001717</v>
      </c>
      <c r="O18" s="52">
        <v>-11516.689999999995</v>
      </c>
      <c r="P18" s="52">
        <f t="shared" si="40"/>
        <v>7457.9150000000081</v>
      </c>
      <c r="Q18" s="52">
        <f t="shared" si="40"/>
        <v>-28614.879999999997</v>
      </c>
      <c r="R18" s="52">
        <f t="shared" si="40"/>
        <v>17382.614999999976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</row>
    <row r="19" spans="1:46" x14ac:dyDescent="0.3">
      <c r="A19" t="s">
        <v>127</v>
      </c>
      <c r="B19" s="52"/>
      <c r="C19" s="52"/>
      <c r="D19" s="52"/>
      <c r="E19" s="52"/>
      <c r="F19" s="52"/>
      <c r="G19" s="52"/>
      <c r="H19" s="52"/>
      <c r="I19" s="52"/>
      <c r="J19" s="52"/>
      <c r="K19" s="52">
        <v>-1</v>
      </c>
      <c r="L19" s="52">
        <v>-1</v>
      </c>
      <c r="M19" s="52"/>
      <c r="N19" s="52"/>
      <c r="O19" s="52"/>
      <c r="P19" s="52"/>
      <c r="Q19" s="52"/>
      <c r="R19" s="52">
        <v>1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</row>
    <row r="20" spans="1:46" x14ac:dyDescent="0.3">
      <c r="A20" t="s">
        <v>124</v>
      </c>
      <c r="B20" s="61">
        <f t="shared" ref="B20:C20" si="44">SUM(B16:B19)</f>
        <v>150272.30470588239</v>
      </c>
      <c r="C20" s="61">
        <f t="shared" si="44"/>
        <v>155551</v>
      </c>
      <c r="D20" s="61">
        <f t="shared" ref="D20:E20" si="45">SUM(D16:D19)</f>
        <v>170481</v>
      </c>
      <c r="E20" s="61">
        <f t="shared" si="45"/>
        <v>176523</v>
      </c>
      <c r="F20" s="61">
        <f t="shared" ref="F20:H20" si="46">SUM(F16:F19)</f>
        <v>187773.58147058822</v>
      </c>
      <c r="G20" s="61">
        <f t="shared" si="46"/>
        <v>195776.14441176469</v>
      </c>
      <c r="H20" s="61">
        <f t="shared" si="46"/>
        <v>166637.41852941178</v>
      </c>
      <c r="I20" s="61">
        <f>SUM(I16:I19)</f>
        <v>152166</v>
      </c>
      <c r="J20" s="61">
        <f>SUM(J16:J19)</f>
        <v>157415</v>
      </c>
      <c r="K20" s="61">
        <f>SUM(K16:K19)</f>
        <v>160605.65514705883</v>
      </c>
      <c r="L20" s="61">
        <f>SUM(L16:L19)</f>
        <v>152411.82485294121</v>
      </c>
      <c r="M20" s="61">
        <v>179550.51529411768</v>
      </c>
      <c r="N20" s="61">
        <v>187339.23705882355</v>
      </c>
      <c r="O20" s="61">
        <v>137149.18811359024</v>
      </c>
      <c r="P20" s="52">
        <f>SUM(P16:P19)</f>
        <v>223711.01500000004</v>
      </c>
      <c r="Q20" s="52">
        <f>SUM(Q16:Q19)</f>
        <v>158129.42344827586</v>
      </c>
      <c r="R20" s="52">
        <f>SUM(R16:R19)</f>
        <v>188403.86637931032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</row>
    <row r="21" spans="1:46" x14ac:dyDescent="0.3">
      <c r="D21" s="52"/>
      <c r="E21" s="52"/>
      <c r="F21" s="52"/>
      <c r="G21" s="52"/>
      <c r="H21" s="52"/>
      <c r="I21" s="52"/>
      <c r="J21" s="52"/>
      <c r="K21" s="52">
        <v>3225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</row>
    <row r="22" spans="1:46" x14ac:dyDescent="0.3">
      <c r="D22" s="52"/>
      <c r="E22" s="52"/>
      <c r="F22" s="52"/>
      <c r="G22" s="52"/>
      <c r="H22" s="52"/>
      <c r="I22" s="52"/>
      <c r="J22" s="52"/>
      <c r="K22" s="52">
        <f>+K20-K21</f>
        <v>157380.65514705883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</row>
    <row r="23" spans="1:46" x14ac:dyDescent="0.3"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</row>
    <row r="24" spans="1:46" x14ac:dyDescent="0.3"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</row>
    <row r="25" spans="1:46" x14ac:dyDescent="0.3"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</row>
    <row r="26" spans="1:46" x14ac:dyDescent="0.3"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</row>
  </sheetData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57F9-D72E-EB45-BB5F-5073AB3A66DE}">
  <sheetPr>
    <pageSetUpPr fitToPage="1"/>
  </sheetPr>
  <dimension ref="A1:AZ104"/>
  <sheetViews>
    <sheetView tabSelected="1" zoomScale="90" zoomScaleNormal="9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K14" sqref="AK14"/>
    </sheetView>
  </sheetViews>
  <sheetFormatPr defaultColWidth="10.5" defaultRowHeight="15.6" x14ac:dyDescent="0.3"/>
  <cols>
    <col min="1" max="1" width="41.5" bestFit="1" customWidth="1"/>
    <col min="4" max="4" width="8.69921875" bestFit="1" customWidth="1"/>
    <col min="5" max="5" width="11.69921875" customWidth="1"/>
    <col min="6" max="6" width="2.69921875" customWidth="1"/>
    <col min="7" max="9" width="10.5" hidden="1" customWidth="1"/>
    <col min="10" max="10" width="12.19921875" hidden="1" customWidth="1"/>
    <col min="11" max="11" width="9.19921875" hidden="1" customWidth="1"/>
    <col min="12" max="12" width="12.19921875" hidden="1" customWidth="1"/>
    <col min="13" max="13" width="9.19921875" hidden="1" customWidth="1"/>
    <col min="14" max="14" width="12.19921875" hidden="1" customWidth="1"/>
    <col min="15" max="15" width="9.19921875" hidden="1" customWidth="1"/>
    <col min="16" max="16" width="12.19921875" hidden="1" customWidth="1"/>
    <col min="17" max="21" width="11.69921875" hidden="1" customWidth="1"/>
    <col min="22" max="22" width="12.19921875" hidden="1" customWidth="1"/>
    <col min="23" max="23" width="13.69921875" hidden="1" customWidth="1"/>
    <col min="24" max="24" width="12.19921875" hidden="1" customWidth="1"/>
    <col min="25" max="25" width="12.69921875" hidden="1" customWidth="1"/>
    <col min="26" max="26" width="0.19921875" hidden="1" customWidth="1"/>
    <col min="27" max="28" width="13.19921875" hidden="1" customWidth="1"/>
    <col min="29" max="29" width="10.5" hidden="1" customWidth="1"/>
    <col min="30" max="30" width="14.5" hidden="1" customWidth="1"/>
    <col min="31" max="31" width="10.5" hidden="1" customWidth="1"/>
    <col min="32" max="36" width="14.5" hidden="1" customWidth="1"/>
    <col min="37" max="38" width="14.5" customWidth="1"/>
  </cols>
  <sheetData>
    <row r="1" spans="1:40" x14ac:dyDescent="0.3">
      <c r="A1" s="1" t="s">
        <v>93</v>
      </c>
      <c r="G1" s="236">
        <v>45807</v>
      </c>
      <c r="H1" s="236"/>
      <c r="I1" s="236">
        <v>45838</v>
      </c>
      <c r="J1" s="236"/>
      <c r="K1" s="236">
        <v>45869</v>
      </c>
      <c r="L1" s="236"/>
      <c r="M1" s="236">
        <v>45901</v>
      </c>
      <c r="N1" s="236"/>
      <c r="O1" s="236">
        <v>45931</v>
      </c>
      <c r="P1" s="236"/>
      <c r="Q1" s="236">
        <v>45961</v>
      </c>
      <c r="R1" s="236"/>
      <c r="S1" s="236">
        <v>45991</v>
      </c>
      <c r="T1" s="236"/>
      <c r="U1" s="236">
        <v>46387</v>
      </c>
      <c r="V1" s="236"/>
      <c r="W1" s="236">
        <v>46053</v>
      </c>
      <c r="X1" s="236"/>
      <c r="Y1" s="236">
        <v>46081</v>
      </c>
      <c r="Z1" s="236"/>
      <c r="AA1" s="236">
        <v>46112</v>
      </c>
      <c r="AB1" s="236"/>
      <c r="AC1" s="236">
        <v>46142</v>
      </c>
      <c r="AD1" s="236"/>
      <c r="AE1" s="237">
        <v>46173</v>
      </c>
      <c r="AF1" s="237"/>
      <c r="AG1" s="235">
        <v>46203</v>
      </c>
      <c r="AH1" s="235"/>
      <c r="AI1" s="235">
        <v>46234</v>
      </c>
      <c r="AJ1" s="235"/>
      <c r="AK1" s="221"/>
      <c r="AL1" s="221"/>
      <c r="AM1" s="125"/>
      <c r="AN1" s="125"/>
    </row>
    <row r="2" spans="1:40" ht="23.7" customHeight="1" x14ac:dyDescent="0.3">
      <c r="A2" s="1" t="s">
        <v>0</v>
      </c>
      <c r="B2" s="1" t="s">
        <v>1</v>
      </c>
      <c r="C2" s="1" t="s">
        <v>2</v>
      </c>
      <c r="D2" s="2" t="s">
        <v>3</v>
      </c>
      <c r="E2" s="12" t="s">
        <v>138</v>
      </c>
      <c r="F2" s="25"/>
      <c r="G2" s="13" t="s">
        <v>71</v>
      </c>
      <c r="H2" s="13" t="s">
        <v>63</v>
      </c>
      <c r="I2" s="13" t="s">
        <v>71</v>
      </c>
      <c r="J2" s="13" t="s">
        <v>63</v>
      </c>
      <c r="K2" s="13" t="s">
        <v>71</v>
      </c>
      <c r="L2" s="13" t="s">
        <v>63</v>
      </c>
      <c r="M2" s="13" t="s">
        <v>71</v>
      </c>
      <c r="N2" s="13" t="s">
        <v>63</v>
      </c>
      <c r="O2" s="13" t="s">
        <v>71</v>
      </c>
      <c r="P2" s="13" t="s">
        <v>63</v>
      </c>
      <c r="Q2" s="13" t="s">
        <v>71</v>
      </c>
      <c r="R2" s="13" t="s">
        <v>63</v>
      </c>
      <c r="S2" s="13" t="s">
        <v>71</v>
      </c>
      <c r="T2" s="13" t="s">
        <v>63</v>
      </c>
      <c r="U2" s="13" t="s">
        <v>71</v>
      </c>
      <c r="V2" s="13" t="s">
        <v>63</v>
      </c>
      <c r="W2" s="13" t="s">
        <v>71</v>
      </c>
      <c r="X2" s="13" t="s">
        <v>63</v>
      </c>
      <c r="Y2" s="13" t="s">
        <v>71</v>
      </c>
      <c r="Z2" s="13" t="s">
        <v>63</v>
      </c>
      <c r="AA2" s="13" t="s">
        <v>71</v>
      </c>
      <c r="AB2" s="13" t="s">
        <v>63</v>
      </c>
      <c r="AC2" s="13" t="s">
        <v>71</v>
      </c>
      <c r="AD2" s="13" t="s">
        <v>63</v>
      </c>
      <c r="AE2" s="13" t="s">
        <v>71</v>
      </c>
      <c r="AF2" s="13" t="s">
        <v>63</v>
      </c>
      <c r="AG2" s="13" t="s">
        <v>71</v>
      </c>
      <c r="AH2" s="13" t="s">
        <v>63</v>
      </c>
      <c r="AI2" s="13" t="s">
        <v>71</v>
      </c>
      <c r="AJ2" s="13" t="s">
        <v>63</v>
      </c>
      <c r="AK2" s="13" t="s">
        <v>71</v>
      </c>
      <c r="AL2" s="13" t="s">
        <v>63</v>
      </c>
    </row>
    <row r="3" spans="1:40" x14ac:dyDescent="0.3">
      <c r="A3" s="3" t="s">
        <v>32</v>
      </c>
      <c r="B3" s="4" t="s">
        <v>4</v>
      </c>
      <c r="C3" s="4" t="s">
        <v>5</v>
      </c>
      <c r="D3" s="5" t="s">
        <v>6</v>
      </c>
      <c r="E3" s="154">
        <v>890</v>
      </c>
      <c r="F3" s="26"/>
      <c r="G3" s="29">
        <v>9.83</v>
      </c>
      <c r="H3" s="51">
        <f t="shared" ref="H3:H52" si="0">+G3*E3</f>
        <v>8748.7000000000007</v>
      </c>
      <c r="I3" s="29">
        <v>16.600000000000001</v>
      </c>
      <c r="J3" s="48">
        <f t="shared" ref="J3:J55" si="1">+I3*E3</f>
        <v>14774.000000000002</v>
      </c>
      <c r="K3" s="29">
        <v>9.2100000000000009</v>
      </c>
      <c r="L3" s="48">
        <f t="shared" ref="L3:L55" si="2">+K3*E3</f>
        <v>8196.9000000000015</v>
      </c>
      <c r="M3" s="29">
        <v>2.41</v>
      </c>
      <c r="N3" s="48">
        <f>+M3*E3</f>
        <v>2144.9</v>
      </c>
      <c r="O3" s="29">
        <v>14.41</v>
      </c>
      <c r="P3" s="48">
        <f>+O3*E3</f>
        <v>12824.9</v>
      </c>
      <c r="Q3" s="32">
        <v>11.23</v>
      </c>
      <c r="R3" s="48">
        <f>+Q3*E3</f>
        <v>9994.7000000000007</v>
      </c>
      <c r="S3" s="29">
        <v>9.19</v>
      </c>
      <c r="T3" s="48">
        <f>+S3*E3</f>
        <v>8179.0999999999995</v>
      </c>
      <c r="U3" s="93">
        <v>21.6128</v>
      </c>
      <c r="V3" s="48">
        <f>+U3*E3</f>
        <v>19235.392</v>
      </c>
      <c r="W3" s="29">
        <v>10.972799999999999</v>
      </c>
      <c r="X3" s="48">
        <v>9765.7919999999995</v>
      </c>
      <c r="Y3" s="98">
        <v>8.5</v>
      </c>
      <c r="Z3" s="48">
        <f>+Y3*E3</f>
        <v>7565</v>
      </c>
      <c r="AA3" s="98">
        <v>5.0199999999999996</v>
      </c>
      <c r="AB3" s="48">
        <f>+AA3*E3</f>
        <v>4467.7999999999993</v>
      </c>
      <c r="AC3" s="98">
        <v>3.09</v>
      </c>
      <c r="AD3" s="48">
        <f>+AC3*[1]Dublin!E3</f>
        <v>2750.1</v>
      </c>
      <c r="AE3" s="81">
        <v>3.86</v>
      </c>
      <c r="AF3" s="127">
        <f t="shared" ref="AF3:AF68" si="3">AE3*E3</f>
        <v>3435.4</v>
      </c>
      <c r="AG3" s="81">
        <f>+AS90</f>
        <v>7.52</v>
      </c>
      <c r="AH3" s="127">
        <f>AG3*E3</f>
        <v>6692.7999999999993</v>
      </c>
      <c r="AI3" s="81">
        <f>AS90</f>
        <v>7.52</v>
      </c>
      <c r="AJ3" s="127">
        <f>AI3*E3</f>
        <v>6692.7999999999993</v>
      </c>
      <c r="AK3" s="84">
        <f>AS90</f>
        <v>7.52</v>
      </c>
      <c r="AL3" s="118">
        <f>AK3*E3</f>
        <v>6692.7999999999993</v>
      </c>
      <c r="AN3" s="49"/>
    </row>
    <row r="4" spans="1:40" x14ac:dyDescent="0.3">
      <c r="A4" s="3" t="s">
        <v>33</v>
      </c>
      <c r="B4" s="4" t="s">
        <v>4</v>
      </c>
      <c r="C4" s="4" t="s">
        <v>5</v>
      </c>
      <c r="D4" s="5" t="s">
        <v>6</v>
      </c>
      <c r="E4" s="154">
        <v>930</v>
      </c>
      <c r="F4" s="26"/>
      <c r="G4" s="29">
        <v>11.23</v>
      </c>
      <c r="H4" s="51">
        <f t="shared" si="0"/>
        <v>10443.9</v>
      </c>
      <c r="I4" s="29">
        <v>14.82</v>
      </c>
      <c r="J4" s="48">
        <f t="shared" si="1"/>
        <v>13782.6</v>
      </c>
      <c r="K4" s="29">
        <v>13.01</v>
      </c>
      <c r="L4" s="48">
        <f t="shared" si="2"/>
        <v>12099.3</v>
      </c>
      <c r="M4" s="29">
        <v>11.2</v>
      </c>
      <c r="N4" s="48">
        <f t="shared" ref="N4:N84" si="4">+M4*E4</f>
        <v>10416</v>
      </c>
      <c r="O4" s="29">
        <v>8.14</v>
      </c>
      <c r="P4" s="48">
        <f t="shared" ref="P4:P84" si="5">+O4*E4</f>
        <v>7570.2000000000007</v>
      </c>
      <c r="Q4" s="32">
        <v>5.7</v>
      </c>
      <c r="R4" s="48">
        <f t="shared" ref="R4:R84" si="6">+Q4*E4</f>
        <v>5301</v>
      </c>
      <c r="S4" s="29">
        <v>3.5059999999999998</v>
      </c>
      <c r="T4" s="48">
        <f t="shared" ref="T4:T84" si="7">+S4*E4</f>
        <v>3260.58</v>
      </c>
      <c r="U4" s="93">
        <v>11.8172</v>
      </c>
      <c r="V4" s="48">
        <f t="shared" ref="V4:V84" si="8">+U4*E4</f>
        <v>10989.995999999999</v>
      </c>
      <c r="W4" s="29">
        <v>7.5616000000000003</v>
      </c>
      <c r="X4" s="48">
        <v>7032.2880000000005</v>
      </c>
      <c r="Y4" s="98">
        <v>6.96</v>
      </c>
      <c r="Z4" s="48">
        <f t="shared" ref="Z4:Z33" si="9">+Y4*E4</f>
        <v>6472.8</v>
      </c>
      <c r="AA4" s="98">
        <v>5.75</v>
      </c>
      <c r="AB4" s="48">
        <f t="shared" ref="AB4:AB75" si="10">+AA4*E4</f>
        <v>5347.5</v>
      </c>
      <c r="AC4" s="98">
        <v>2.85</v>
      </c>
      <c r="AD4" s="48">
        <f>+AC4*[1]Dublin!E4</f>
        <v>2650.5</v>
      </c>
      <c r="AE4" s="81">
        <v>6.7799999999999994</v>
      </c>
      <c r="AF4" s="127">
        <f t="shared" si="3"/>
        <v>6305.4</v>
      </c>
      <c r="AG4" s="81">
        <f>+AW90</f>
        <v>10.02</v>
      </c>
      <c r="AH4" s="127">
        <f t="shared" ref="AH4:AH66" si="11">AG4*E4</f>
        <v>9318.6</v>
      </c>
      <c r="AI4" s="81">
        <f>AW90</f>
        <v>10.02</v>
      </c>
      <c r="AJ4" s="127">
        <f>E4*AI4</f>
        <v>9318.6</v>
      </c>
      <c r="AK4" s="84">
        <f>AW90</f>
        <v>10.02</v>
      </c>
      <c r="AL4" s="118">
        <f>AK4*E4</f>
        <v>9318.6</v>
      </c>
    </row>
    <row r="5" spans="1:40" x14ac:dyDescent="0.3">
      <c r="A5" s="3" t="s">
        <v>97</v>
      </c>
      <c r="B5" s="4" t="s">
        <v>4</v>
      </c>
      <c r="C5" s="4" t="s">
        <v>5</v>
      </c>
      <c r="D5" s="5" t="s">
        <v>6</v>
      </c>
      <c r="E5" s="99">
        <v>930</v>
      </c>
      <c r="F5" s="26"/>
      <c r="G5" s="29">
        <v>0.7</v>
      </c>
      <c r="H5" s="51">
        <f t="shared" si="0"/>
        <v>651</v>
      </c>
      <c r="I5" s="29">
        <v>0.7</v>
      </c>
      <c r="J5" s="48">
        <f t="shared" si="1"/>
        <v>651</v>
      </c>
      <c r="K5" s="29">
        <v>0.7</v>
      </c>
      <c r="L5" s="48">
        <f t="shared" si="2"/>
        <v>651</v>
      </c>
      <c r="M5" s="29">
        <v>0.68</v>
      </c>
      <c r="N5" s="48">
        <f t="shared" si="4"/>
        <v>632.40000000000009</v>
      </c>
      <c r="O5" s="29">
        <v>0.68</v>
      </c>
      <c r="P5" s="48">
        <f t="shared" si="5"/>
        <v>632.40000000000009</v>
      </c>
      <c r="Q5" s="32">
        <v>0.68</v>
      </c>
      <c r="R5" s="48">
        <f t="shared" si="6"/>
        <v>632.40000000000009</v>
      </c>
      <c r="S5" s="29">
        <v>0.6</v>
      </c>
      <c r="T5" s="48">
        <f t="shared" si="7"/>
        <v>558</v>
      </c>
      <c r="U5" s="92"/>
      <c r="V5" s="48">
        <f t="shared" si="8"/>
        <v>0</v>
      </c>
      <c r="W5" s="29">
        <v>0.6</v>
      </c>
      <c r="X5" s="48">
        <v>558</v>
      </c>
      <c r="Y5" s="98">
        <v>0.6</v>
      </c>
      <c r="Z5" s="48">
        <f t="shared" si="9"/>
        <v>558</v>
      </c>
      <c r="AA5" s="98"/>
      <c r="AB5" s="48">
        <f t="shared" si="10"/>
        <v>0</v>
      </c>
      <c r="AC5" s="98"/>
      <c r="AD5" s="48">
        <f>+AC5*[1]Dublin!E5</f>
        <v>0</v>
      </c>
      <c r="AE5" s="81"/>
      <c r="AF5" s="127">
        <f t="shared" si="3"/>
        <v>0</v>
      </c>
      <c r="AG5" s="81">
        <v>0.5</v>
      </c>
      <c r="AH5" s="127">
        <f t="shared" si="11"/>
        <v>465</v>
      </c>
      <c r="AI5" s="81"/>
      <c r="AJ5" s="127">
        <f>AI5*G5</f>
        <v>0</v>
      </c>
      <c r="AK5" s="84"/>
      <c r="AL5" s="118"/>
    </row>
    <row r="6" spans="1:40" x14ac:dyDescent="0.3">
      <c r="A6" s="7" t="s">
        <v>96</v>
      </c>
      <c r="B6" s="8" t="s">
        <v>4</v>
      </c>
      <c r="C6" s="8" t="s">
        <v>8</v>
      </c>
      <c r="D6" s="6" t="s">
        <v>6</v>
      </c>
      <c r="E6" s="154">
        <v>1125</v>
      </c>
      <c r="F6" s="26"/>
      <c r="G6" s="29">
        <v>0</v>
      </c>
      <c r="H6" s="51">
        <f t="shared" si="0"/>
        <v>0</v>
      </c>
      <c r="I6" s="29"/>
      <c r="J6" s="48">
        <f t="shared" si="1"/>
        <v>0</v>
      </c>
      <c r="K6" s="29">
        <v>0</v>
      </c>
      <c r="L6" s="48">
        <f t="shared" si="2"/>
        <v>0</v>
      </c>
      <c r="M6" s="29">
        <v>2</v>
      </c>
      <c r="N6" s="48">
        <f t="shared" si="4"/>
        <v>2250</v>
      </c>
      <c r="O6" s="29">
        <v>3</v>
      </c>
      <c r="P6" s="48">
        <f t="shared" si="5"/>
        <v>3375</v>
      </c>
      <c r="Q6" s="32">
        <v>2.2200000000000002</v>
      </c>
      <c r="R6" s="48">
        <f t="shared" si="6"/>
        <v>2497.5</v>
      </c>
      <c r="S6" s="29">
        <v>0</v>
      </c>
      <c r="T6" s="48">
        <f t="shared" si="7"/>
        <v>0</v>
      </c>
      <c r="U6" s="92"/>
      <c r="V6" s="48">
        <f t="shared" si="8"/>
        <v>0</v>
      </c>
      <c r="W6" s="29">
        <v>0</v>
      </c>
      <c r="X6" s="48">
        <v>0</v>
      </c>
      <c r="Y6" s="98"/>
      <c r="Z6" s="48">
        <f t="shared" si="9"/>
        <v>0</v>
      </c>
      <c r="AA6" s="98"/>
      <c r="AB6" s="48">
        <f t="shared" si="10"/>
        <v>0</v>
      </c>
      <c r="AC6" s="98"/>
      <c r="AD6" s="48">
        <f>+AC6*[1]Dublin!E6</f>
        <v>0</v>
      </c>
      <c r="AE6" s="81"/>
      <c r="AF6" s="127">
        <f t="shared" si="3"/>
        <v>0</v>
      </c>
      <c r="AG6" s="81"/>
      <c r="AH6" s="127">
        <f t="shared" si="11"/>
        <v>0</v>
      </c>
      <c r="AI6" s="81"/>
      <c r="AJ6" s="127">
        <f t="shared" ref="AJ5:AJ6" si="12">AI6*G6</f>
        <v>0</v>
      </c>
      <c r="AK6" s="84"/>
      <c r="AL6" s="118"/>
    </row>
    <row r="7" spans="1:40" x14ac:dyDescent="0.3">
      <c r="A7" s="7" t="s">
        <v>7</v>
      </c>
      <c r="B7" s="8" t="s">
        <v>4</v>
      </c>
      <c r="C7" s="8" t="s">
        <v>8</v>
      </c>
      <c r="D7" s="6" t="s">
        <v>6</v>
      </c>
      <c r="E7" s="154">
        <v>885</v>
      </c>
      <c r="F7" s="26"/>
      <c r="G7" s="29">
        <v>6.25</v>
      </c>
      <c r="H7" s="97">
        <f t="shared" si="0"/>
        <v>5531.25</v>
      </c>
      <c r="I7" s="29">
        <v>6.25</v>
      </c>
      <c r="J7" s="91">
        <f t="shared" si="1"/>
        <v>5531.25</v>
      </c>
      <c r="K7" s="29">
        <v>6.25</v>
      </c>
      <c r="L7" s="91">
        <f t="shared" si="2"/>
        <v>5531.25</v>
      </c>
      <c r="M7" s="29">
        <v>6.25</v>
      </c>
      <c r="N7" s="91">
        <f t="shared" si="4"/>
        <v>5531.25</v>
      </c>
      <c r="O7" s="29">
        <v>4</v>
      </c>
      <c r="P7" s="91">
        <f t="shared" si="5"/>
        <v>3540</v>
      </c>
      <c r="Q7" s="29"/>
      <c r="R7" s="91">
        <f t="shared" si="6"/>
        <v>0</v>
      </c>
      <c r="S7" s="29">
        <v>2.2200000000000002</v>
      </c>
      <c r="T7" s="91">
        <f t="shared" si="7"/>
        <v>1964.7000000000003</v>
      </c>
      <c r="U7" s="93">
        <v>2.2200000000000002</v>
      </c>
      <c r="V7" s="91">
        <f t="shared" si="8"/>
        <v>1964.7000000000003</v>
      </c>
      <c r="W7" s="29">
        <v>2.2000000000000002</v>
      </c>
      <c r="X7" s="91">
        <v>1947.0000000000002</v>
      </c>
      <c r="Y7" s="98">
        <v>2.2000000000000002</v>
      </c>
      <c r="Z7" s="91">
        <f t="shared" si="9"/>
        <v>1947.0000000000002</v>
      </c>
      <c r="AA7" s="98">
        <v>2.2000000000000002</v>
      </c>
      <c r="AB7" s="91">
        <f t="shared" si="10"/>
        <v>1947.0000000000002</v>
      </c>
      <c r="AC7" s="98"/>
      <c r="AD7" s="48">
        <f>+AC7*[1]Dublin!E7</f>
        <v>0</v>
      </c>
      <c r="AE7" s="122">
        <v>2.2000000000000002</v>
      </c>
      <c r="AF7" s="127">
        <f t="shared" si="3"/>
        <v>1947.0000000000002</v>
      </c>
      <c r="AG7" s="81">
        <v>2.2000000000000002</v>
      </c>
      <c r="AH7" s="127">
        <f>AG7*E7</f>
        <v>1947.0000000000002</v>
      </c>
      <c r="AI7" s="81">
        <v>2.2000000000000002</v>
      </c>
      <c r="AJ7" s="127">
        <f>AI7*E7</f>
        <v>1947.0000000000002</v>
      </c>
      <c r="AK7" s="84">
        <v>2.2000000000000002</v>
      </c>
      <c r="AL7" s="118">
        <f t="shared" ref="AL6:AL69" si="13">AK7*E7</f>
        <v>1947.0000000000002</v>
      </c>
    </row>
    <row r="8" spans="1:40" x14ac:dyDescent="0.3">
      <c r="A8" s="7" t="s">
        <v>10</v>
      </c>
      <c r="B8" s="4" t="s">
        <v>4</v>
      </c>
      <c r="C8" s="4" t="s">
        <v>8</v>
      </c>
      <c r="D8" s="5" t="s">
        <v>6</v>
      </c>
      <c r="E8" s="99">
        <v>450</v>
      </c>
      <c r="F8" s="26"/>
      <c r="G8" s="29">
        <v>0</v>
      </c>
      <c r="H8" s="51">
        <f t="shared" si="0"/>
        <v>0</v>
      </c>
      <c r="I8" s="29"/>
      <c r="J8" s="48">
        <f t="shared" si="1"/>
        <v>0</v>
      </c>
      <c r="K8" s="29">
        <v>0</v>
      </c>
      <c r="L8" s="48">
        <f t="shared" si="2"/>
        <v>0</v>
      </c>
      <c r="M8" s="29">
        <v>1</v>
      </c>
      <c r="N8" s="48">
        <f t="shared" si="4"/>
        <v>450</v>
      </c>
      <c r="O8" s="29"/>
      <c r="P8" s="48">
        <f t="shared" si="5"/>
        <v>0</v>
      </c>
      <c r="Q8" s="32"/>
      <c r="R8" s="48">
        <f t="shared" si="6"/>
        <v>0</v>
      </c>
      <c r="S8" s="29">
        <v>0</v>
      </c>
      <c r="T8" s="48">
        <f t="shared" si="7"/>
        <v>0</v>
      </c>
      <c r="U8" s="92"/>
      <c r="V8" s="48">
        <f t="shared" si="8"/>
        <v>0</v>
      </c>
      <c r="W8" s="29">
        <v>0</v>
      </c>
      <c r="X8" s="48">
        <v>0</v>
      </c>
      <c r="Y8" s="98"/>
      <c r="Z8" s="48">
        <f t="shared" si="9"/>
        <v>0</v>
      </c>
      <c r="AA8" s="98"/>
      <c r="AB8" s="91">
        <f t="shared" si="10"/>
        <v>0</v>
      </c>
      <c r="AC8" s="98"/>
      <c r="AD8" s="48">
        <f>+AC8*[1]Dublin!E8</f>
        <v>0</v>
      </c>
      <c r="AE8" s="81"/>
      <c r="AF8" s="127">
        <f t="shared" si="3"/>
        <v>0</v>
      </c>
      <c r="AG8" s="81"/>
      <c r="AH8" s="127">
        <f t="shared" si="11"/>
        <v>0</v>
      </c>
      <c r="AI8" s="81"/>
      <c r="AJ8" s="127">
        <f t="shared" ref="AJ8:AJ69" si="14">AI8*E8</f>
        <v>0</v>
      </c>
      <c r="AK8" s="84"/>
      <c r="AL8" s="118"/>
    </row>
    <row r="9" spans="1:40" x14ac:dyDescent="0.3">
      <c r="A9" s="7" t="s">
        <v>132</v>
      </c>
      <c r="B9" s="8" t="s">
        <v>15</v>
      </c>
      <c r="C9" s="8" t="s">
        <v>162</v>
      </c>
      <c r="D9" s="6"/>
      <c r="E9" s="100">
        <v>173.29</v>
      </c>
      <c r="F9" s="28"/>
      <c r="G9" s="29">
        <v>34</v>
      </c>
      <c r="H9" s="97">
        <f t="shared" si="0"/>
        <v>5891.86</v>
      </c>
      <c r="I9" s="29">
        <v>10</v>
      </c>
      <c r="J9" s="91">
        <f t="shared" si="1"/>
        <v>1732.8999999999999</v>
      </c>
      <c r="K9" s="29">
        <v>10</v>
      </c>
      <c r="L9" s="91">
        <f t="shared" si="2"/>
        <v>1732.8999999999999</v>
      </c>
      <c r="M9" s="29">
        <v>10</v>
      </c>
      <c r="N9" s="91">
        <f t="shared" si="4"/>
        <v>1732.8999999999999</v>
      </c>
      <c r="O9" s="29">
        <v>10</v>
      </c>
      <c r="P9" s="91">
        <f t="shared" si="5"/>
        <v>1732.8999999999999</v>
      </c>
      <c r="Q9" s="29">
        <v>10</v>
      </c>
      <c r="R9" s="91">
        <f t="shared" si="6"/>
        <v>1732.8999999999999</v>
      </c>
      <c r="S9" s="29">
        <v>10</v>
      </c>
      <c r="T9" s="91">
        <f t="shared" si="7"/>
        <v>1732.8999999999999</v>
      </c>
      <c r="U9" s="92">
        <v>10</v>
      </c>
      <c r="V9" s="91">
        <f t="shared" si="8"/>
        <v>1732.8999999999999</v>
      </c>
      <c r="W9" s="29">
        <v>10</v>
      </c>
      <c r="X9" s="91">
        <v>1732.8999999999999</v>
      </c>
      <c r="Y9" s="98">
        <v>10</v>
      </c>
      <c r="Z9" s="91">
        <f t="shared" si="9"/>
        <v>1732.8999999999999</v>
      </c>
      <c r="AA9" s="98">
        <v>10</v>
      </c>
      <c r="AB9" s="91">
        <f t="shared" si="10"/>
        <v>1732.8999999999999</v>
      </c>
      <c r="AC9" s="98">
        <v>10</v>
      </c>
      <c r="AD9" s="48">
        <f>+AC9*[1]Dublin!E9</f>
        <v>1732.8999999999999</v>
      </c>
      <c r="AE9" s="81">
        <v>10</v>
      </c>
      <c r="AF9" s="127">
        <f t="shared" si="3"/>
        <v>1732.8999999999999</v>
      </c>
      <c r="AG9" s="81">
        <v>3</v>
      </c>
      <c r="AH9" s="127">
        <f t="shared" si="11"/>
        <v>519.87</v>
      </c>
      <c r="AI9" s="81">
        <v>3</v>
      </c>
      <c r="AJ9" s="127">
        <f t="shared" si="14"/>
        <v>519.87</v>
      </c>
      <c r="AK9" s="84"/>
      <c r="AL9" s="118"/>
    </row>
    <row r="10" spans="1:40" x14ac:dyDescent="0.3">
      <c r="A10" s="7" t="s">
        <v>134</v>
      </c>
      <c r="B10" s="8" t="s">
        <v>15</v>
      </c>
      <c r="C10" s="8" t="s">
        <v>162</v>
      </c>
      <c r="D10" s="6" t="s">
        <v>20</v>
      </c>
      <c r="E10" s="100">
        <v>33.090000000000003</v>
      </c>
      <c r="F10" s="28"/>
      <c r="G10" s="29">
        <v>0</v>
      </c>
      <c r="H10" s="51">
        <f t="shared" si="0"/>
        <v>0</v>
      </c>
      <c r="I10" s="29"/>
      <c r="J10" s="48">
        <f t="shared" si="1"/>
        <v>0</v>
      </c>
      <c r="K10" s="29"/>
      <c r="L10" s="48">
        <f t="shared" si="2"/>
        <v>0</v>
      </c>
      <c r="M10" s="29"/>
      <c r="N10" s="48">
        <f t="shared" si="4"/>
        <v>0</v>
      </c>
      <c r="O10" s="29"/>
      <c r="P10" s="48">
        <f t="shared" si="5"/>
        <v>0</v>
      </c>
      <c r="Q10" s="32"/>
      <c r="R10" s="48">
        <f t="shared" si="6"/>
        <v>0</v>
      </c>
      <c r="S10" s="29">
        <v>0</v>
      </c>
      <c r="T10" s="48">
        <f t="shared" si="7"/>
        <v>0</v>
      </c>
      <c r="U10" s="92"/>
      <c r="V10" s="48">
        <f t="shared" si="8"/>
        <v>0</v>
      </c>
      <c r="W10" s="29">
        <v>0</v>
      </c>
      <c r="X10" s="48">
        <v>0</v>
      </c>
      <c r="Y10" s="98"/>
      <c r="Z10" s="48">
        <f t="shared" si="9"/>
        <v>0</v>
      </c>
      <c r="AA10" s="98"/>
      <c r="AB10" s="48">
        <f t="shared" si="10"/>
        <v>0</v>
      </c>
      <c r="AC10" s="98"/>
      <c r="AD10" s="48">
        <f>+AC10*[1]Dublin!E10</f>
        <v>0</v>
      </c>
      <c r="AE10" s="81"/>
      <c r="AF10" s="127">
        <f t="shared" si="3"/>
        <v>0</v>
      </c>
      <c r="AG10" s="81"/>
      <c r="AH10" s="127">
        <f t="shared" si="11"/>
        <v>0</v>
      </c>
      <c r="AI10" s="81"/>
      <c r="AJ10" s="127">
        <f t="shared" si="14"/>
        <v>0</v>
      </c>
      <c r="AK10" s="84"/>
      <c r="AL10" s="118"/>
    </row>
    <row r="11" spans="1:40" x14ac:dyDescent="0.3">
      <c r="A11" s="128" t="s">
        <v>155</v>
      </c>
      <c r="B11" s="8" t="s">
        <v>15</v>
      </c>
      <c r="C11" s="8" t="s">
        <v>162</v>
      </c>
      <c r="D11" s="5" t="s">
        <v>6</v>
      </c>
      <c r="E11" s="100">
        <v>1310</v>
      </c>
      <c r="F11" s="28"/>
      <c r="G11" s="32">
        <v>1.5</v>
      </c>
      <c r="H11" s="51">
        <f t="shared" si="0"/>
        <v>1965</v>
      </c>
      <c r="I11" s="32">
        <v>1.5</v>
      </c>
      <c r="J11" s="48">
        <f t="shared" si="1"/>
        <v>1965</v>
      </c>
      <c r="K11" s="29">
        <v>1</v>
      </c>
      <c r="L11" s="48">
        <f t="shared" si="2"/>
        <v>1310</v>
      </c>
      <c r="M11" s="29">
        <v>1</v>
      </c>
      <c r="N11" s="48">
        <f t="shared" si="4"/>
        <v>1310</v>
      </c>
      <c r="O11" s="29">
        <v>1</v>
      </c>
      <c r="P11" s="48">
        <f t="shared" si="5"/>
        <v>1310</v>
      </c>
      <c r="Q11" s="32">
        <v>1</v>
      </c>
      <c r="R11" s="48">
        <f t="shared" si="6"/>
        <v>1310</v>
      </c>
      <c r="S11" s="29">
        <v>1</v>
      </c>
      <c r="T11" s="48">
        <f t="shared" si="7"/>
        <v>1310</v>
      </c>
      <c r="U11" s="92">
        <v>1</v>
      </c>
      <c r="V11" s="48">
        <f t="shared" si="8"/>
        <v>1310</v>
      </c>
      <c r="W11" s="29">
        <v>1</v>
      </c>
      <c r="X11" s="48">
        <v>1310</v>
      </c>
      <c r="Y11" s="98">
        <v>1</v>
      </c>
      <c r="Z11" s="48">
        <f t="shared" si="9"/>
        <v>1310</v>
      </c>
      <c r="AA11" s="98"/>
      <c r="AB11" s="48">
        <f t="shared" si="10"/>
        <v>0</v>
      </c>
      <c r="AC11" s="98"/>
      <c r="AD11" s="48">
        <f>+AC11*[1]Dublin!E11</f>
        <v>0</v>
      </c>
      <c r="AE11" s="81"/>
      <c r="AF11" s="127">
        <f t="shared" si="3"/>
        <v>0</v>
      </c>
      <c r="AG11" s="81">
        <v>0.33300000000000002</v>
      </c>
      <c r="AH11" s="127">
        <f t="shared" si="11"/>
        <v>436.23</v>
      </c>
      <c r="AI11" s="81"/>
      <c r="AJ11" s="127">
        <f t="shared" si="14"/>
        <v>0</v>
      </c>
      <c r="AK11" s="84"/>
      <c r="AL11" s="118"/>
    </row>
    <row r="12" spans="1:40" x14ac:dyDescent="0.3">
      <c r="A12" s="7" t="s">
        <v>163</v>
      </c>
      <c r="B12" s="8" t="s">
        <v>15</v>
      </c>
      <c r="C12" s="8" t="s">
        <v>162</v>
      </c>
      <c r="D12" s="6" t="s">
        <v>128</v>
      </c>
      <c r="E12" s="130"/>
      <c r="F12" s="27"/>
      <c r="G12" s="32">
        <v>24</v>
      </c>
      <c r="H12" s="51">
        <f t="shared" si="0"/>
        <v>0</v>
      </c>
      <c r="I12" s="32">
        <v>24</v>
      </c>
      <c r="J12" s="48">
        <f t="shared" si="1"/>
        <v>0</v>
      </c>
      <c r="K12" s="29">
        <v>24</v>
      </c>
      <c r="L12" s="54">
        <f t="shared" si="2"/>
        <v>0</v>
      </c>
      <c r="M12" s="29">
        <v>24</v>
      </c>
      <c r="N12" s="48">
        <f t="shared" si="4"/>
        <v>0</v>
      </c>
      <c r="O12" s="29">
        <v>24</v>
      </c>
      <c r="P12" s="48">
        <f t="shared" si="5"/>
        <v>0</v>
      </c>
      <c r="Q12" s="32"/>
      <c r="R12" s="48">
        <f t="shared" si="6"/>
        <v>0</v>
      </c>
      <c r="S12" s="29">
        <v>0</v>
      </c>
      <c r="T12" s="48">
        <f t="shared" si="7"/>
        <v>0</v>
      </c>
      <c r="U12" s="92"/>
      <c r="V12" s="48">
        <f t="shared" si="8"/>
        <v>0</v>
      </c>
      <c r="W12" s="29"/>
      <c r="X12" s="48">
        <v>0</v>
      </c>
      <c r="Y12" s="98"/>
      <c r="Z12" s="48">
        <f t="shared" si="9"/>
        <v>0</v>
      </c>
      <c r="AA12" s="98"/>
      <c r="AB12" s="48">
        <f t="shared" si="10"/>
        <v>0</v>
      </c>
      <c r="AC12" s="98">
        <v>24</v>
      </c>
      <c r="AD12" s="48">
        <f>+AC12*[1]Dublin!E12</f>
        <v>0</v>
      </c>
      <c r="AE12" s="81">
        <v>24</v>
      </c>
      <c r="AF12" s="127">
        <f t="shared" si="3"/>
        <v>0</v>
      </c>
      <c r="AG12" s="152">
        <v>24</v>
      </c>
      <c r="AH12" s="127">
        <f t="shared" si="11"/>
        <v>0</v>
      </c>
      <c r="AI12" s="152">
        <v>24</v>
      </c>
      <c r="AJ12" s="158">
        <f>AI12*E12</f>
        <v>0</v>
      </c>
      <c r="AK12" s="243">
        <v>24</v>
      </c>
      <c r="AL12" s="118"/>
    </row>
    <row r="13" spans="1:40" x14ac:dyDescent="0.3">
      <c r="A13" s="7" t="s">
        <v>9</v>
      </c>
      <c r="B13" s="8" t="s">
        <v>4</v>
      </c>
      <c r="C13" s="8" t="s">
        <v>40</v>
      </c>
      <c r="D13" s="6" t="s">
        <v>6</v>
      </c>
      <c r="E13" s="155">
        <v>790</v>
      </c>
      <c r="F13" s="26"/>
      <c r="G13" s="29">
        <v>0.45</v>
      </c>
      <c r="H13" s="97">
        <f t="shared" si="0"/>
        <v>355.5</v>
      </c>
      <c r="I13" s="29">
        <v>0.22500000000000001</v>
      </c>
      <c r="J13" s="91">
        <f t="shared" si="1"/>
        <v>177.75</v>
      </c>
      <c r="K13" s="29">
        <v>0.66</v>
      </c>
      <c r="L13" s="91">
        <f t="shared" si="2"/>
        <v>521.4</v>
      </c>
      <c r="M13" s="29">
        <v>0.75</v>
      </c>
      <c r="N13" s="91">
        <f t="shared" si="4"/>
        <v>592.5</v>
      </c>
      <c r="O13" s="29"/>
      <c r="P13" s="91">
        <f t="shared" si="5"/>
        <v>0</v>
      </c>
      <c r="Q13" s="29" t="e">
        <f>+#REF!</f>
        <v>#REF!</v>
      </c>
      <c r="R13" s="91" t="e">
        <f t="shared" si="6"/>
        <v>#REF!</v>
      </c>
      <c r="S13" s="29">
        <v>0.4</v>
      </c>
      <c r="T13" s="91">
        <f t="shared" si="7"/>
        <v>316</v>
      </c>
      <c r="U13" s="92" t="e">
        <f>+#REF!</f>
        <v>#REF!</v>
      </c>
      <c r="V13" s="91" t="e">
        <f t="shared" si="8"/>
        <v>#REF!</v>
      </c>
      <c r="W13" s="29">
        <v>1.075</v>
      </c>
      <c r="X13" s="91">
        <v>849.25</v>
      </c>
      <c r="Y13" s="98">
        <v>1</v>
      </c>
      <c r="Z13" s="91">
        <f t="shared" si="9"/>
        <v>790</v>
      </c>
      <c r="AA13" s="98">
        <v>0.4</v>
      </c>
      <c r="AB13" s="91">
        <f t="shared" si="10"/>
        <v>316</v>
      </c>
      <c r="AC13" s="98">
        <v>1.9000000000000001</v>
      </c>
      <c r="AD13" s="48">
        <f>+AC13*[1]Dublin!E13</f>
        <v>1501</v>
      </c>
      <c r="AE13" s="81"/>
      <c r="AF13" s="127">
        <f t="shared" si="3"/>
        <v>0</v>
      </c>
      <c r="AG13" s="81">
        <v>2</v>
      </c>
      <c r="AH13" s="127">
        <f t="shared" si="11"/>
        <v>1580</v>
      </c>
      <c r="AI13" s="81">
        <v>2</v>
      </c>
      <c r="AJ13" s="127">
        <f t="shared" si="14"/>
        <v>1580</v>
      </c>
      <c r="AK13" s="243">
        <v>0.5</v>
      </c>
      <c r="AL13" s="118">
        <f t="shared" si="13"/>
        <v>395</v>
      </c>
    </row>
    <row r="14" spans="1:40" x14ac:dyDescent="0.3">
      <c r="A14" s="7" t="s">
        <v>139</v>
      </c>
      <c r="B14" s="8" t="s">
        <v>89</v>
      </c>
      <c r="C14" s="8" t="s">
        <v>129</v>
      </c>
      <c r="D14" s="6" t="s">
        <v>30</v>
      </c>
      <c r="E14" s="100">
        <v>17.5</v>
      </c>
      <c r="F14" s="28"/>
      <c r="G14" s="31">
        <v>16</v>
      </c>
      <c r="H14" s="51">
        <f t="shared" si="0"/>
        <v>280</v>
      </c>
      <c r="I14" s="31"/>
      <c r="J14" s="48">
        <f t="shared" si="1"/>
        <v>0</v>
      </c>
      <c r="K14" s="29"/>
      <c r="L14" s="48">
        <f t="shared" si="2"/>
        <v>0</v>
      </c>
      <c r="M14" s="29">
        <v>16</v>
      </c>
      <c r="N14" s="48">
        <f t="shared" si="4"/>
        <v>280</v>
      </c>
      <c r="O14" s="29">
        <v>16</v>
      </c>
      <c r="P14" s="48">
        <f t="shared" si="5"/>
        <v>280</v>
      </c>
      <c r="Q14" s="74">
        <v>16</v>
      </c>
      <c r="R14" s="48">
        <f t="shared" si="6"/>
        <v>280</v>
      </c>
      <c r="S14" s="29">
        <v>16</v>
      </c>
      <c r="T14" s="48">
        <f t="shared" si="7"/>
        <v>280</v>
      </c>
      <c r="U14" s="92">
        <v>16</v>
      </c>
      <c r="V14" s="48">
        <f t="shared" si="8"/>
        <v>280</v>
      </c>
      <c r="W14" s="29">
        <v>16</v>
      </c>
      <c r="X14" s="48">
        <v>280</v>
      </c>
      <c r="Y14" s="98"/>
      <c r="Z14" s="48">
        <f t="shared" si="9"/>
        <v>0</v>
      </c>
      <c r="AA14" s="98"/>
      <c r="AB14" s="48">
        <f t="shared" si="10"/>
        <v>0</v>
      </c>
      <c r="AC14" s="98"/>
      <c r="AD14" s="48">
        <f>+AC14*[1]Dublin!E16</f>
        <v>0</v>
      </c>
      <c r="AE14" s="81"/>
      <c r="AF14" s="127">
        <f t="shared" si="3"/>
        <v>0</v>
      </c>
      <c r="AG14" s="81"/>
      <c r="AH14" s="127">
        <f t="shared" si="11"/>
        <v>0</v>
      </c>
      <c r="AI14" s="81"/>
      <c r="AJ14" s="127">
        <f t="shared" si="14"/>
        <v>0</v>
      </c>
      <c r="AK14" s="243"/>
      <c r="AL14" s="118"/>
    </row>
    <row r="15" spans="1:40" x14ac:dyDescent="0.3">
      <c r="A15" s="7" t="s">
        <v>90</v>
      </c>
      <c r="B15" s="8" t="s">
        <v>89</v>
      </c>
      <c r="C15" s="8" t="s">
        <v>129</v>
      </c>
      <c r="D15" s="6" t="s">
        <v>30</v>
      </c>
      <c r="E15" s="100">
        <v>25</v>
      </c>
      <c r="F15" s="28"/>
      <c r="G15" s="29">
        <v>3</v>
      </c>
      <c r="H15" s="51">
        <f t="shared" si="0"/>
        <v>75</v>
      </c>
      <c r="I15" s="29"/>
      <c r="J15" s="48">
        <f t="shared" si="1"/>
        <v>0</v>
      </c>
      <c r="K15" s="29"/>
      <c r="L15" s="48">
        <f t="shared" si="2"/>
        <v>0</v>
      </c>
      <c r="M15" s="29">
        <v>3</v>
      </c>
      <c r="N15" s="48">
        <f t="shared" si="4"/>
        <v>75</v>
      </c>
      <c r="O15" s="29">
        <v>3</v>
      </c>
      <c r="P15" s="48">
        <f t="shared" si="5"/>
        <v>75</v>
      </c>
      <c r="Q15" s="74">
        <v>3</v>
      </c>
      <c r="R15" s="48">
        <f t="shared" si="6"/>
        <v>75</v>
      </c>
      <c r="S15" s="29">
        <v>3</v>
      </c>
      <c r="T15" s="48">
        <f t="shared" si="7"/>
        <v>75</v>
      </c>
      <c r="U15" s="92">
        <v>3</v>
      </c>
      <c r="V15" s="48">
        <f t="shared" si="8"/>
        <v>75</v>
      </c>
      <c r="W15" s="29">
        <v>3</v>
      </c>
      <c r="X15" s="48">
        <v>75</v>
      </c>
      <c r="Y15" s="98">
        <v>3</v>
      </c>
      <c r="Z15" s="48">
        <f t="shared" si="9"/>
        <v>75</v>
      </c>
      <c r="AA15" s="98"/>
      <c r="AB15" s="48">
        <f t="shared" si="10"/>
        <v>0</v>
      </c>
      <c r="AC15" s="98"/>
      <c r="AD15" s="48">
        <f>+AC15*[1]Dublin!E17</f>
        <v>0</v>
      </c>
      <c r="AE15" s="81"/>
      <c r="AF15" s="127">
        <f t="shared" si="3"/>
        <v>0</v>
      </c>
      <c r="AG15" s="81"/>
      <c r="AH15" s="127">
        <f t="shared" si="11"/>
        <v>0</v>
      </c>
      <c r="AI15" s="81"/>
      <c r="AJ15" s="127">
        <f t="shared" si="14"/>
        <v>0</v>
      </c>
      <c r="AK15" s="243"/>
      <c r="AL15" s="118"/>
    </row>
    <row r="16" spans="1:40" x14ac:dyDescent="0.3">
      <c r="A16" s="7" t="s">
        <v>81</v>
      </c>
      <c r="B16" s="8" t="s">
        <v>4</v>
      </c>
      <c r="C16" s="8" t="s">
        <v>29</v>
      </c>
      <c r="D16" s="6" t="s">
        <v>30</v>
      </c>
      <c r="E16" s="153">
        <v>20</v>
      </c>
      <c r="F16" s="26"/>
      <c r="G16" s="29">
        <v>54</v>
      </c>
      <c r="H16" s="97">
        <f t="shared" si="0"/>
        <v>1080</v>
      </c>
      <c r="I16" s="29">
        <v>49</v>
      </c>
      <c r="J16" s="91">
        <f t="shared" si="1"/>
        <v>980</v>
      </c>
      <c r="K16" s="29">
        <v>59</v>
      </c>
      <c r="L16" s="91">
        <f t="shared" si="2"/>
        <v>1180</v>
      </c>
      <c r="M16" s="29">
        <v>30</v>
      </c>
      <c r="N16" s="91">
        <f t="shared" si="4"/>
        <v>600</v>
      </c>
      <c r="O16" s="29">
        <v>34</v>
      </c>
      <c r="P16" s="91">
        <f t="shared" si="5"/>
        <v>680</v>
      </c>
      <c r="Q16" s="29">
        <f>20+25-8</f>
        <v>37</v>
      </c>
      <c r="R16" s="91">
        <f t="shared" si="6"/>
        <v>740</v>
      </c>
      <c r="S16" s="29">
        <v>175</v>
      </c>
      <c r="T16" s="91">
        <f t="shared" si="7"/>
        <v>3500</v>
      </c>
      <c r="U16" s="92">
        <v>175</v>
      </c>
      <c r="V16" s="91">
        <f t="shared" si="8"/>
        <v>3500</v>
      </c>
      <c r="W16" s="29">
        <v>110</v>
      </c>
      <c r="X16" s="91">
        <v>2200</v>
      </c>
      <c r="Y16" s="98">
        <f>74+35</f>
        <v>109</v>
      </c>
      <c r="Z16" s="91">
        <f t="shared" si="9"/>
        <v>2180</v>
      </c>
      <c r="AA16" s="98">
        <v>63</v>
      </c>
      <c r="AB16" s="91">
        <f t="shared" si="10"/>
        <v>1260</v>
      </c>
      <c r="AC16" s="98">
        <v>28</v>
      </c>
      <c r="AD16" s="48">
        <f>+AC16*[1]Dublin!E18</f>
        <v>560</v>
      </c>
      <c r="AE16" s="81">
        <v>17</v>
      </c>
      <c r="AF16" s="127">
        <f t="shared" si="3"/>
        <v>340</v>
      </c>
      <c r="AG16" s="81">
        <f>2+15+4+30+27+35</f>
        <v>113</v>
      </c>
      <c r="AH16" s="127">
        <f t="shared" si="11"/>
        <v>2260</v>
      </c>
      <c r="AI16" s="81">
        <v>16</v>
      </c>
      <c r="AJ16" s="127">
        <f t="shared" si="14"/>
        <v>320</v>
      </c>
      <c r="AK16" s="243">
        <v>130</v>
      </c>
      <c r="AL16" s="118">
        <f t="shared" si="13"/>
        <v>2600</v>
      </c>
    </row>
    <row r="17" spans="1:38" x14ac:dyDescent="0.3">
      <c r="A17" s="7" t="s">
        <v>82</v>
      </c>
      <c r="B17" s="8" t="s">
        <v>4</v>
      </c>
      <c r="C17" s="8" t="s">
        <v>29</v>
      </c>
      <c r="D17" s="6" t="s">
        <v>30</v>
      </c>
      <c r="E17" s="100">
        <v>95</v>
      </c>
      <c r="F17" s="26"/>
      <c r="G17" s="29">
        <v>14</v>
      </c>
      <c r="H17" s="97">
        <f t="shared" si="0"/>
        <v>1330</v>
      </c>
      <c r="I17" s="29">
        <v>7</v>
      </c>
      <c r="J17" s="91">
        <f t="shared" si="1"/>
        <v>665</v>
      </c>
      <c r="K17" s="29">
        <v>4</v>
      </c>
      <c r="L17" s="91">
        <f t="shared" si="2"/>
        <v>380</v>
      </c>
      <c r="M17" s="29">
        <v>2</v>
      </c>
      <c r="N17" s="91">
        <f t="shared" si="4"/>
        <v>190</v>
      </c>
      <c r="O17" s="29">
        <v>10</v>
      </c>
      <c r="P17" s="91">
        <f t="shared" si="5"/>
        <v>950</v>
      </c>
      <c r="Q17" s="29">
        <v>12</v>
      </c>
      <c r="R17" s="91">
        <f t="shared" si="6"/>
        <v>1140</v>
      </c>
      <c r="S17" s="29">
        <v>16</v>
      </c>
      <c r="T17" s="91">
        <f t="shared" si="7"/>
        <v>1520</v>
      </c>
      <c r="U17" s="92">
        <v>17</v>
      </c>
      <c r="V17" s="91">
        <f t="shared" si="8"/>
        <v>1615</v>
      </c>
      <c r="W17" s="29">
        <v>31</v>
      </c>
      <c r="X17" s="91">
        <v>2945</v>
      </c>
      <c r="Y17" s="98">
        <v>31</v>
      </c>
      <c r="Z17" s="91">
        <f t="shared" si="9"/>
        <v>2945</v>
      </c>
      <c r="AA17" s="98">
        <v>33</v>
      </c>
      <c r="AB17" s="91">
        <f t="shared" si="10"/>
        <v>3135</v>
      </c>
      <c r="AC17" s="98">
        <v>17</v>
      </c>
      <c r="AD17" s="48">
        <f>+AC17*[1]Dublin!E19</f>
        <v>1615</v>
      </c>
      <c r="AE17" s="81">
        <v>17</v>
      </c>
      <c r="AF17" s="127">
        <f t="shared" si="3"/>
        <v>1615</v>
      </c>
      <c r="AG17" s="81">
        <v>11</v>
      </c>
      <c r="AH17" s="127">
        <f t="shared" si="11"/>
        <v>1045</v>
      </c>
      <c r="AI17" s="81">
        <v>11</v>
      </c>
      <c r="AJ17" s="127">
        <f t="shared" si="14"/>
        <v>1045</v>
      </c>
      <c r="AK17" s="243">
        <v>41</v>
      </c>
      <c r="AL17" s="118">
        <f t="shared" si="13"/>
        <v>3895</v>
      </c>
    </row>
    <row r="18" spans="1:38" x14ac:dyDescent="0.3">
      <c r="A18" s="7" t="s">
        <v>81</v>
      </c>
      <c r="B18" s="8" t="s">
        <v>117</v>
      </c>
      <c r="C18" s="8" t="s">
        <v>29</v>
      </c>
      <c r="D18" s="6"/>
      <c r="E18" s="100"/>
      <c r="F18" s="26"/>
      <c r="G18" s="29"/>
      <c r="H18" s="97"/>
      <c r="I18" s="29"/>
      <c r="J18" s="91"/>
      <c r="K18" s="29"/>
      <c r="L18" s="91"/>
      <c r="M18" s="29"/>
      <c r="N18" s="91"/>
      <c r="O18" s="29"/>
      <c r="P18" s="91"/>
      <c r="Q18" s="29"/>
      <c r="R18" s="91"/>
      <c r="S18" s="29"/>
      <c r="T18" s="91"/>
      <c r="U18" s="92"/>
      <c r="V18" s="91"/>
      <c r="W18" s="29"/>
      <c r="X18" s="91"/>
      <c r="Y18" s="98"/>
      <c r="Z18" s="91"/>
      <c r="AA18" s="98">
        <v>30</v>
      </c>
      <c r="AB18" s="91"/>
      <c r="AC18" s="98">
        <v>33</v>
      </c>
      <c r="AD18" s="48">
        <f>+AC18*[1]Dublin!E20</f>
        <v>0</v>
      </c>
      <c r="AE18" s="81"/>
      <c r="AF18" s="127">
        <f t="shared" si="3"/>
        <v>0</v>
      </c>
      <c r="AG18" s="81"/>
      <c r="AH18" s="127">
        <f t="shared" si="11"/>
        <v>0</v>
      </c>
      <c r="AI18" s="81">
        <v>65</v>
      </c>
      <c r="AJ18" s="158">
        <f t="shared" si="14"/>
        <v>0</v>
      </c>
      <c r="AK18" s="243"/>
      <c r="AL18" s="118"/>
    </row>
    <row r="19" spans="1:38" x14ac:dyDescent="0.3">
      <c r="A19" s="7" t="s">
        <v>183</v>
      </c>
      <c r="B19" s="8" t="s">
        <v>4</v>
      </c>
      <c r="C19" s="8" t="s">
        <v>29</v>
      </c>
      <c r="D19" s="6" t="s">
        <v>30</v>
      </c>
      <c r="E19" s="100">
        <v>125</v>
      </c>
      <c r="F19" s="26"/>
      <c r="G19" s="32"/>
      <c r="H19" s="51"/>
      <c r="I19" s="32"/>
      <c r="J19" s="48"/>
      <c r="K19" s="29"/>
      <c r="L19" s="48"/>
      <c r="M19" s="72"/>
      <c r="N19" s="48"/>
      <c r="O19" s="29"/>
      <c r="P19" s="48"/>
      <c r="Q19" s="32">
        <v>1</v>
      </c>
      <c r="R19" s="48">
        <f t="shared" si="6"/>
        <v>125</v>
      </c>
      <c r="S19" s="29">
        <v>1</v>
      </c>
      <c r="T19" s="48">
        <f t="shared" si="7"/>
        <v>125</v>
      </c>
      <c r="U19" s="92">
        <v>1</v>
      </c>
      <c r="V19" s="48">
        <f t="shared" si="8"/>
        <v>125</v>
      </c>
      <c r="W19" s="29">
        <v>1</v>
      </c>
      <c r="X19" s="48">
        <v>125</v>
      </c>
      <c r="Y19" s="98">
        <v>1</v>
      </c>
      <c r="Z19" s="48">
        <f t="shared" si="9"/>
        <v>125</v>
      </c>
      <c r="AA19" s="98">
        <v>1</v>
      </c>
      <c r="AB19" s="48">
        <f t="shared" si="10"/>
        <v>125</v>
      </c>
      <c r="AC19" s="98"/>
      <c r="AD19" s="48">
        <f>+AC19*[1]Dublin!E21</f>
        <v>0</v>
      </c>
      <c r="AE19" s="81"/>
      <c r="AF19" s="127">
        <f t="shared" si="3"/>
        <v>0</v>
      </c>
      <c r="AG19" s="81"/>
      <c r="AH19" s="127">
        <f t="shared" si="11"/>
        <v>0</v>
      </c>
      <c r="AI19" s="81"/>
      <c r="AJ19" s="127">
        <f t="shared" si="14"/>
        <v>0</v>
      </c>
      <c r="AK19" s="243"/>
      <c r="AL19" s="118"/>
    </row>
    <row r="20" spans="1:38" x14ac:dyDescent="0.3">
      <c r="A20" s="7" t="s">
        <v>87</v>
      </c>
      <c r="B20" s="8" t="s">
        <v>4</v>
      </c>
      <c r="C20" s="8" t="s">
        <v>29</v>
      </c>
      <c r="D20" s="6" t="s">
        <v>30</v>
      </c>
      <c r="E20" s="100">
        <v>50</v>
      </c>
      <c r="F20" s="26"/>
      <c r="G20" s="32">
        <v>2</v>
      </c>
      <c r="H20" s="51">
        <f t="shared" si="0"/>
        <v>100</v>
      </c>
      <c r="I20" s="32">
        <v>2</v>
      </c>
      <c r="J20" s="48">
        <f t="shared" si="1"/>
        <v>100</v>
      </c>
      <c r="K20" s="29">
        <v>2</v>
      </c>
      <c r="L20" s="48">
        <f t="shared" si="2"/>
        <v>100</v>
      </c>
      <c r="M20" s="29">
        <v>2</v>
      </c>
      <c r="N20" s="48">
        <f t="shared" si="4"/>
        <v>100</v>
      </c>
      <c r="O20" s="29">
        <v>2</v>
      </c>
      <c r="P20" s="48">
        <f t="shared" si="5"/>
        <v>100</v>
      </c>
      <c r="Q20" s="32">
        <v>1</v>
      </c>
      <c r="R20" s="48">
        <f t="shared" si="6"/>
        <v>50</v>
      </c>
      <c r="S20" s="29">
        <v>1</v>
      </c>
      <c r="T20" s="48">
        <f t="shared" si="7"/>
        <v>50</v>
      </c>
      <c r="U20" s="92">
        <v>1</v>
      </c>
      <c r="V20" s="48">
        <f t="shared" si="8"/>
        <v>50</v>
      </c>
      <c r="W20" s="29">
        <v>1</v>
      </c>
      <c r="X20" s="48">
        <v>50</v>
      </c>
      <c r="Y20" s="98"/>
      <c r="Z20" s="48">
        <f t="shared" si="9"/>
        <v>0</v>
      </c>
      <c r="AA20" s="98"/>
      <c r="AB20" s="48">
        <f t="shared" si="10"/>
        <v>0</v>
      </c>
      <c r="AC20" s="98"/>
      <c r="AD20" s="48">
        <f>+AC20*[1]Dublin!E22</f>
        <v>0</v>
      </c>
      <c r="AE20" s="81"/>
      <c r="AF20" s="127">
        <f t="shared" si="3"/>
        <v>0</v>
      </c>
      <c r="AG20" s="81"/>
      <c r="AH20" s="127">
        <f t="shared" si="11"/>
        <v>0</v>
      </c>
      <c r="AI20" s="81"/>
      <c r="AJ20" s="127">
        <f t="shared" si="14"/>
        <v>0</v>
      </c>
      <c r="AK20" s="84"/>
      <c r="AL20" s="118"/>
    </row>
    <row r="21" spans="1:38" x14ac:dyDescent="0.3">
      <c r="A21" s="7" t="s">
        <v>204</v>
      </c>
      <c r="B21" s="8" t="s">
        <v>4</v>
      </c>
      <c r="C21" s="8" t="s">
        <v>29</v>
      </c>
      <c r="D21" s="6" t="s">
        <v>30</v>
      </c>
      <c r="E21" s="100">
        <v>40</v>
      </c>
      <c r="F21" s="26"/>
      <c r="G21" s="32">
        <v>21</v>
      </c>
      <c r="H21" s="51">
        <f t="shared" si="0"/>
        <v>840</v>
      </c>
      <c r="I21" s="32">
        <v>24</v>
      </c>
      <c r="J21" s="48">
        <f t="shared" si="1"/>
        <v>960</v>
      </c>
      <c r="K21" s="29">
        <v>22</v>
      </c>
      <c r="L21" s="48">
        <f t="shared" si="2"/>
        <v>880</v>
      </c>
      <c r="M21" s="29">
        <v>22</v>
      </c>
      <c r="N21" s="48">
        <f t="shared" si="4"/>
        <v>880</v>
      </c>
      <c r="O21" s="29">
        <v>19</v>
      </c>
      <c r="P21" s="48">
        <f t="shared" si="5"/>
        <v>760</v>
      </c>
      <c r="Q21" s="32">
        <f>5+16</f>
        <v>21</v>
      </c>
      <c r="R21" s="48">
        <f t="shared" si="6"/>
        <v>840</v>
      </c>
      <c r="S21" s="29">
        <v>17</v>
      </c>
      <c r="T21" s="48">
        <f t="shared" si="7"/>
        <v>680</v>
      </c>
      <c r="U21" s="92">
        <v>17</v>
      </c>
      <c r="V21" s="48">
        <f t="shared" si="8"/>
        <v>680</v>
      </c>
      <c r="W21" s="29">
        <v>7</v>
      </c>
      <c r="X21" s="48">
        <v>280</v>
      </c>
      <c r="Y21" s="98"/>
      <c r="Z21" s="48">
        <f t="shared" si="9"/>
        <v>0</v>
      </c>
      <c r="AA21" s="98">
        <v>2</v>
      </c>
      <c r="AB21" s="48">
        <f t="shared" si="10"/>
        <v>80</v>
      </c>
      <c r="AC21" s="98"/>
      <c r="AD21" s="48">
        <f>+AC21*[1]Dublin!E23</f>
        <v>0</v>
      </c>
      <c r="AE21" s="81">
        <v>2</v>
      </c>
      <c r="AF21" s="127">
        <f t="shared" si="3"/>
        <v>80</v>
      </c>
      <c r="AG21" s="81">
        <v>3</v>
      </c>
      <c r="AH21" s="127">
        <f t="shared" si="11"/>
        <v>120</v>
      </c>
      <c r="AI21" s="159"/>
      <c r="AJ21" s="127">
        <f t="shared" si="14"/>
        <v>0</v>
      </c>
      <c r="AK21" s="84"/>
      <c r="AL21" s="118"/>
    </row>
    <row r="22" spans="1:38" x14ac:dyDescent="0.3">
      <c r="A22" s="7" t="s">
        <v>193</v>
      </c>
      <c r="B22" s="8" t="s">
        <v>4</v>
      </c>
      <c r="C22" s="8" t="s">
        <v>29</v>
      </c>
      <c r="D22" s="6" t="s">
        <v>30</v>
      </c>
      <c r="E22" s="100">
        <v>40</v>
      </c>
      <c r="F22" s="26"/>
      <c r="G22" s="32">
        <v>21</v>
      </c>
      <c r="H22" s="51">
        <f t="shared" ref="H22" si="15">+G22*E22</f>
        <v>840</v>
      </c>
      <c r="I22" s="32">
        <v>24</v>
      </c>
      <c r="J22" s="48">
        <f t="shared" ref="J22" si="16">+I22*E22</f>
        <v>960</v>
      </c>
      <c r="K22" s="29">
        <v>22</v>
      </c>
      <c r="L22" s="48">
        <f t="shared" ref="L22" si="17">+K22*E22</f>
        <v>880</v>
      </c>
      <c r="M22" s="29">
        <v>22</v>
      </c>
      <c r="N22" s="48">
        <f t="shared" ref="N22" si="18">+M22*E22</f>
        <v>880</v>
      </c>
      <c r="O22" s="29">
        <v>19</v>
      </c>
      <c r="P22" s="48">
        <f t="shared" ref="P22" si="19">+O22*E22</f>
        <v>760</v>
      </c>
      <c r="Q22" s="32">
        <f>5+16</f>
        <v>21</v>
      </c>
      <c r="R22" s="48">
        <f t="shared" ref="R22" si="20">+Q22*E22</f>
        <v>840</v>
      </c>
      <c r="S22" s="29">
        <v>17</v>
      </c>
      <c r="T22" s="48">
        <f t="shared" ref="T22" si="21">+S22*E22</f>
        <v>680</v>
      </c>
      <c r="U22" s="92"/>
      <c r="V22" s="48">
        <f t="shared" ref="V22" si="22">+U22*E22</f>
        <v>0</v>
      </c>
      <c r="W22" s="29">
        <v>20</v>
      </c>
      <c r="X22" s="48">
        <v>800</v>
      </c>
      <c r="Y22" s="98">
        <v>20</v>
      </c>
      <c r="Z22" s="48">
        <f t="shared" si="9"/>
        <v>800</v>
      </c>
      <c r="AA22" s="98">
        <v>20</v>
      </c>
      <c r="AB22" s="48">
        <f t="shared" si="10"/>
        <v>800</v>
      </c>
      <c r="AC22" s="98">
        <v>22</v>
      </c>
      <c r="AD22" s="48">
        <f>+AC22*[1]Dublin!E24</f>
        <v>880</v>
      </c>
      <c r="AE22" s="81">
        <v>20</v>
      </c>
      <c r="AF22" s="127">
        <f t="shared" si="3"/>
        <v>800</v>
      </c>
      <c r="AG22" s="81">
        <f>15+4</f>
        <v>19</v>
      </c>
      <c r="AH22" s="127">
        <f t="shared" si="11"/>
        <v>760</v>
      </c>
      <c r="AI22" s="159"/>
      <c r="AJ22" s="127">
        <f t="shared" si="14"/>
        <v>0</v>
      </c>
      <c r="AK22" s="84">
        <v>15</v>
      </c>
      <c r="AL22" s="118">
        <f t="shared" si="13"/>
        <v>600</v>
      </c>
    </row>
    <row r="23" spans="1:38" x14ac:dyDescent="0.3">
      <c r="A23" s="7" t="s">
        <v>149</v>
      </c>
      <c r="B23" s="8" t="s">
        <v>4</v>
      </c>
      <c r="C23" s="8" t="s">
        <v>29</v>
      </c>
      <c r="D23" s="6" t="s">
        <v>30</v>
      </c>
      <c r="E23" s="100">
        <v>125</v>
      </c>
      <c r="F23" s="26"/>
      <c r="G23" s="32">
        <v>6</v>
      </c>
      <c r="H23" s="51">
        <f t="shared" si="0"/>
        <v>750</v>
      </c>
      <c r="I23" s="32">
        <v>5</v>
      </c>
      <c r="J23" s="48">
        <f t="shared" si="1"/>
        <v>625</v>
      </c>
      <c r="K23" s="29">
        <v>5</v>
      </c>
      <c r="L23" s="48">
        <f t="shared" si="2"/>
        <v>625</v>
      </c>
      <c r="M23" s="29">
        <v>5</v>
      </c>
      <c r="N23" s="48">
        <f t="shared" si="4"/>
        <v>625</v>
      </c>
      <c r="O23" s="29">
        <v>18</v>
      </c>
      <c r="P23" s="48">
        <f t="shared" si="5"/>
        <v>2250</v>
      </c>
      <c r="Q23" s="32">
        <f>4+13</f>
        <v>17</v>
      </c>
      <c r="R23" s="48">
        <f t="shared" si="6"/>
        <v>2125</v>
      </c>
      <c r="S23" s="29">
        <v>17</v>
      </c>
      <c r="T23" s="48">
        <f t="shared" si="7"/>
        <v>2125</v>
      </c>
      <c r="U23" s="92">
        <v>17</v>
      </c>
      <c r="V23" s="48">
        <f t="shared" si="8"/>
        <v>2125</v>
      </c>
      <c r="W23" s="29">
        <v>16</v>
      </c>
      <c r="X23" s="48">
        <v>2000</v>
      </c>
      <c r="Y23" s="98">
        <f>1+15</f>
        <v>16</v>
      </c>
      <c r="Z23" s="48">
        <f t="shared" si="9"/>
        <v>2000</v>
      </c>
      <c r="AA23" s="98">
        <v>13</v>
      </c>
      <c r="AB23" s="48">
        <f t="shared" si="10"/>
        <v>1625</v>
      </c>
      <c r="AC23" s="98">
        <v>13</v>
      </c>
      <c r="AD23" s="48">
        <f>+AC23*[1]Dublin!E25</f>
        <v>1625</v>
      </c>
      <c r="AE23" s="81">
        <v>13</v>
      </c>
      <c r="AF23" s="127">
        <f t="shared" si="3"/>
        <v>1625</v>
      </c>
      <c r="AG23" s="81">
        <v>13</v>
      </c>
      <c r="AH23" s="127">
        <f t="shared" si="11"/>
        <v>1625</v>
      </c>
      <c r="AI23" s="81">
        <v>13</v>
      </c>
      <c r="AJ23" s="127">
        <f t="shared" si="14"/>
        <v>1625</v>
      </c>
      <c r="AK23" s="84"/>
      <c r="AL23" s="118"/>
    </row>
    <row r="24" spans="1:38" x14ac:dyDescent="0.3">
      <c r="A24" s="7" t="s">
        <v>194</v>
      </c>
      <c r="B24" s="8" t="s">
        <v>4</v>
      </c>
      <c r="C24" s="8" t="s">
        <v>29</v>
      </c>
      <c r="D24" s="6" t="s">
        <v>30</v>
      </c>
      <c r="E24" s="100">
        <v>150</v>
      </c>
      <c r="F24" s="26"/>
      <c r="G24" s="32">
        <v>6</v>
      </c>
      <c r="H24" s="51">
        <f t="shared" ref="H24" si="23">+G24*E24</f>
        <v>900</v>
      </c>
      <c r="I24" s="32">
        <v>5</v>
      </c>
      <c r="J24" s="48">
        <f t="shared" ref="J24" si="24">+I24*E24</f>
        <v>750</v>
      </c>
      <c r="K24" s="29">
        <v>5</v>
      </c>
      <c r="L24" s="48">
        <f t="shared" ref="L24" si="25">+K24*E24</f>
        <v>750</v>
      </c>
      <c r="M24" s="29">
        <v>5</v>
      </c>
      <c r="N24" s="48">
        <f t="shared" ref="N24" si="26">+M24*E24</f>
        <v>750</v>
      </c>
      <c r="O24" s="29">
        <v>18</v>
      </c>
      <c r="P24" s="48">
        <f t="shared" ref="P24" si="27">+O24*E24</f>
        <v>2700</v>
      </c>
      <c r="Q24" s="32">
        <f>4+13</f>
        <v>17</v>
      </c>
      <c r="R24" s="48">
        <f t="shared" ref="R24" si="28">+Q24*E24</f>
        <v>2550</v>
      </c>
      <c r="S24" s="29">
        <v>17</v>
      </c>
      <c r="T24" s="48">
        <f t="shared" ref="T24" si="29">+S24*E24</f>
        <v>2550</v>
      </c>
      <c r="U24" s="92"/>
      <c r="V24" s="48">
        <f t="shared" ref="V24" si="30">+U24*E24</f>
        <v>0</v>
      </c>
      <c r="W24" s="29">
        <v>8</v>
      </c>
      <c r="X24" s="91">
        <v>1200</v>
      </c>
      <c r="Y24" s="98">
        <v>8</v>
      </c>
      <c r="Z24" s="48">
        <f t="shared" si="9"/>
        <v>1200</v>
      </c>
      <c r="AA24" s="98">
        <v>8</v>
      </c>
      <c r="AB24" s="48">
        <f t="shared" si="10"/>
        <v>1200</v>
      </c>
      <c r="AC24" s="98"/>
      <c r="AD24" s="48">
        <f>+AC24*[1]Dublin!E26</f>
        <v>0</v>
      </c>
      <c r="AE24" s="81"/>
      <c r="AF24" s="127">
        <f t="shared" si="3"/>
        <v>0</v>
      </c>
      <c r="AG24" s="81"/>
      <c r="AH24" s="127">
        <f t="shared" si="11"/>
        <v>0</v>
      </c>
      <c r="AI24" s="81"/>
      <c r="AJ24" s="127">
        <f t="shared" si="14"/>
        <v>0</v>
      </c>
      <c r="AK24" s="84"/>
      <c r="AL24" s="118"/>
    </row>
    <row r="25" spans="1:38" x14ac:dyDescent="0.3">
      <c r="A25" s="7" t="s">
        <v>62</v>
      </c>
      <c r="B25" s="8" t="s">
        <v>4</v>
      </c>
      <c r="C25" s="8" t="s">
        <v>29</v>
      </c>
      <c r="D25" s="6" t="s">
        <v>30</v>
      </c>
      <c r="E25" s="100">
        <v>45</v>
      </c>
      <c r="F25" s="26"/>
      <c r="G25" s="32">
        <v>8</v>
      </c>
      <c r="H25" s="51">
        <f t="shared" si="0"/>
        <v>360</v>
      </c>
      <c r="I25" s="32">
        <v>8</v>
      </c>
      <c r="J25" s="48">
        <f t="shared" si="1"/>
        <v>360</v>
      </c>
      <c r="K25" s="29">
        <v>8</v>
      </c>
      <c r="L25" s="48">
        <f t="shared" si="2"/>
        <v>360</v>
      </c>
      <c r="M25" s="29">
        <v>8</v>
      </c>
      <c r="N25" s="48">
        <f t="shared" si="4"/>
        <v>360</v>
      </c>
      <c r="O25" s="29">
        <v>8</v>
      </c>
      <c r="P25" s="48">
        <f t="shared" si="5"/>
        <v>360</v>
      </c>
      <c r="Q25" s="32">
        <v>8</v>
      </c>
      <c r="R25" s="48">
        <f t="shared" si="6"/>
        <v>360</v>
      </c>
      <c r="S25" s="29">
        <v>8</v>
      </c>
      <c r="T25" s="48">
        <f t="shared" si="7"/>
        <v>360</v>
      </c>
      <c r="U25" s="92">
        <v>8</v>
      </c>
      <c r="V25" s="48">
        <f t="shared" si="8"/>
        <v>360</v>
      </c>
      <c r="W25" s="29">
        <v>8</v>
      </c>
      <c r="X25" s="48">
        <v>360</v>
      </c>
      <c r="Y25" s="98">
        <v>8</v>
      </c>
      <c r="Z25" s="48">
        <f t="shared" si="9"/>
        <v>360</v>
      </c>
      <c r="AA25" s="98">
        <v>9</v>
      </c>
      <c r="AB25" s="48">
        <f t="shared" si="10"/>
        <v>405</v>
      </c>
      <c r="AC25" s="98">
        <v>9</v>
      </c>
      <c r="AD25" s="48">
        <f>+AC25*[1]Dublin!E27</f>
        <v>405</v>
      </c>
      <c r="AE25" s="81">
        <v>9</v>
      </c>
      <c r="AF25" s="127">
        <f t="shared" si="3"/>
        <v>405</v>
      </c>
      <c r="AG25" s="81">
        <v>9</v>
      </c>
      <c r="AH25" s="127"/>
      <c r="AI25" s="81">
        <v>9</v>
      </c>
      <c r="AJ25" s="127">
        <f t="shared" si="14"/>
        <v>405</v>
      </c>
      <c r="AK25" s="84">
        <v>9</v>
      </c>
      <c r="AL25" s="118">
        <f t="shared" si="13"/>
        <v>405</v>
      </c>
    </row>
    <row r="26" spans="1:38" x14ac:dyDescent="0.3">
      <c r="A26" s="7" t="s">
        <v>207</v>
      </c>
      <c r="B26" s="8" t="s">
        <v>4</v>
      </c>
      <c r="C26" s="8" t="s">
        <v>29</v>
      </c>
      <c r="D26" s="6" t="s">
        <v>30</v>
      </c>
      <c r="E26" s="100">
        <v>55</v>
      </c>
      <c r="F26" s="26"/>
      <c r="G26" s="32">
        <v>8</v>
      </c>
      <c r="H26" s="51">
        <f t="shared" si="0"/>
        <v>440</v>
      </c>
      <c r="I26" s="32">
        <v>8</v>
      </c>
      <c r="J26" s="48">
        <f t="shared" si="1"/>
        <v>440</v>
      </c>
      <c r="K26" s="29">
        <v>8</v>
      </c>
      <c r="L26" s="48">
        <f t="shared" si="2"/>
        <v>440</v>
      </c>
      <c r="M26" s="29">
        <v>8</v>
      </c>
      <c r="N26" s="48">
        <f t="shared" si="4"/>
        <v>440</v>
      </c>
      <c r="O26" s="29">
        <v>5</v>
      </c>
      <c r="P26" s="48">
        <f t="shared" si="5"/>
        <v>275</v>
      </c>
      <c r="Q26" s="32">
        <v>5</v>
      </c>
      <c r="R26" s="48">
        <f t="shared" si="6"/>
        <v>275</v>
      </c>
      <c r="S26" s="29">
        <v>5</v>
      </c>
      <c r="T26" s="48">
        <f t="shared" si="7"/>
        <v>275</v>
      </c>
      <c r="U26" s="92">
        <v>5</v>
      </c>
      <c r="V26" s="48">
        <f t="shared" si="8"/>
        <v>275</v>
      </c>
      <c r="W26" s="29">
        <v>5</v>
      </c>
      <c r="X26" s="48">
        <v>275</v>
      </c>
      <c r="Y26" s="98">
        <v>4</v>
      </c>
      <c r="Z26" s="48">
        <f t="shared" si="9"/>
        <v>220</v>
      </c>
      <c r="AA26" s="98">
        <v>5</v>
      </c>
      <c r="AB26" s="48">
        <f t="shared" si="10"/>
        <v>275</v>
      </c>
      <c r="AC26" s="98">
        <v>5</v>
      </c>
      <c r="AD26" s="48">
        <f>+AC26*[1]Dublin!E28</f>
        <v>275</v>
      </c>
      <c r="AE26" s="81">
        <v>5</v>
      </c>
      <c r="AF26" s="127">
        <f t="shared" si="3"/>
        <v>275</v>
      </c>
      <c r="AG26" s="81">
        <v>5</v>
      </c>
      <c r="AH26" s="127">
        <f t="shared" si="11"/>
        <v>275</v>
      </c>
      <c r="AI26" s="81">
        <v>5</v>
      </c>
      <c r="AJ26" s="127">
        <f t="shared" si="14"/>
        <v>275</v>
      </c>
      <c r="AK26" s="84"/>
      <c r="AL26" s="118"/>
    </row>
    <row r="27" spans="1:38" x14ac:dyDescent="0.3">
      <c r="A27" s="7" t="s">
        <v>95</v>
      </c>
      <c r="B27" s="4" t="s">
        <v>4</v>
      </c>
      <c r="C27" s="4" t="s">
        <v>29</v>
      </c>
      <c r="D27" s="5" t="s">
        <v>30</v>
      </c>
      <c r="E27" s="153">
        <v>20</v>
      </c>
      <c r="F27" s="26"/>
      <c r="G27" s="32">
        <v>21</v>
      </c>
      <c r="H27" s="51">
        <f t="shared" si="0"/>
        <v>420</v>
      </c>
      <c r="I27" s="32">
        <f>41</f>
        <v>41</v>
      </c>
      <c r="J27" s="48">
        <f t="shared" si="1"/>
        <v>820</v>
      </c>
      <c r="K27" s="29">
        <v>83</v>
      </c>
      <c r="L27" s="48">
        <f t="shared" si="2"/>
        <v>1660</v>
      </c>
      <c r="M27" s="29">
        <v>52</v>
      </c>
      <c r="N27" s="48">
        <f t="shared" si="4"/>
        <v>1040</v>
      </c>
      <c r="O27" s="29">
        <v>98</v>
      </c>
      <c r="P27" s="48">
        <f t="shared" si="5"/>
        <v>1960</v>
      </c>
      <c r="Q27" s="32">
        <f>20+17+3</f>
        <v>40</v>
      </c>
      <c r="R27" s="48">
        <f t="shared" si="6"/>
        <v>800</v>
      </c>
      <c r="S27" s="29">
        <v>58</v>
      </c>
      <c r="T27" s="48">
        <f t="shared" si="7"/>
        <v>1160</v>
      </c>
      <c r="U27" s="92">
        <v>50</v>
      </c>
      <c r="V27" s="48">
        <f t="shared" si="8"/>
        <v>1000</v>
      </c>
      <c r="W27" s="29">
        <v>31</v>
      </c>
      <c r="X27" s="48">
        <v>620</v>
      </c>
      <c r="Y27" s="98">
        <v>16</v>
      </c>
      <c r="Z27" s="48">
        <f t="shared" si="9"/>
        <v>320</v>
      </c>
      <c r="AA27" s="98">
        <v>15</v>
      </c>
      <c r="AB27" s="48">
        <f t="shared" si="10"/>
        <v>300</v>
      </c>
      <c r="AC27" s="98">
        <v>12</v>
      </c>
      <c r="AD27" s="48">
        <f>+AC27*[1]Dublin!E29</f>
        <v>240</v>
      </c>
      <c r="AE27" s="81">
        <v>56</v>
      </c>
      <c r="AF27" s="127">
        <f t="shared" si="3"/>
        <v>1120</v>
      </c>
      <c r="AG27" s="81">
        <v>54</v>
      </c>
      <c r="AH27" s="127">
        <f t="shared" si="11"/>
        <v>1080</v>
      </c>
      <c r="AI27" s="81"/>
      <c r="AJ27" s="127">
        <f t="shared" si="14"/>
        <v>0</v>
      </c>
      <c r="AK27" s="84">
        <v>90</v>
      </c>
      <c r="AL27" s="118">
        <f t="shared" si="13"/>
        <v>1800</v>
      </c>
    </row>
    <row r="28" spans="1:38" x14ac:dyDescent="0.3">
      <c r="A28" s="7" t="s">
        <v>180</v>
      </c>
      <c r="B28" s="4" t="s">
        <v>117</v>
      </c>
      <c r="C28" s="4" t="s">
        <v>29</v>
      </c>
      <c r="D28" s="5" t="s">
        <v>161</v>
      </c>
      <c r="E28" s="100">
        <v>22.5</v>
      </c>
      <c r="F28" s="26"/>
      <c r="G28" s="32"/>
      <c r="H28" s="51"/>
      <c r="I28" s="32"/>
      <c r="J28" s="48"/>
      <c r="K28" s="29"/>
      <c r="L28" s="48"/>
      <c r="M28" s="29"/>
      <c r="N28" s="48"/>
      <c r="O28" s="29"/>
      <c r="P28" s="48"/>
      <c r="Q28" s="32">
        <v>26</v>
      </c>
      <c r="R28" s="48">
        <f t="shared" si="6"/>
        <v>585</v>
      </c>
      <c r="S28" s="29">
        <v>24</v>
      </c>
      <c r="T28" s="48">
        <f t="shared" si="7"/>
        <v>540</v>
      </c>
      <c r="U28" s="92">
        <v>24</v>
      </c>
      <c r="V28" s="48">
        <f t="shared" si="8"/>
        <v>540</v>
      </c>
      <c r="W28" s="29">
        <v>16</v>
      </c>
      <c r="X28" s="48">
        <v>360</v>
      </c>
      <c r="Y28" s="98">
        <v>16</v>
      </c>
      <c r="Z28" s="48">
        <f t="shared" si="9"/>
        <v>360</v>
      </c>
      <c r="AA28" s="98">
        <v>23</v>
      </c>
      <c r="AB28" s="48">
        <f t="shared" si="10"/>
        <v>517.5</v>
      </c>
      <c r="AC28" s="98"/>
      <c r="AD28" s="48">
        <f>+AC28*[1]Dublin!E30</f>
        <v>0</v>
      </c>
      <c r="AE28" s="81">
        <v>53</v>
      </c>
      <c r="AF28" s="127">
        <f t="shared" si="3"/>
        <v>1192.5</v>
      </c>
      <c r="AG28" s="81">
        <v>46</v>
      </c>
      <c r="AH28" s="127">
        <f t="shared" si="11"/>
        <v>1035</v>
      </c>
      <c r="AI28" s="81">
        <v>46</v>
      </c>
      <c r="AJ28" s="127">
        <f t="shared" si="14"/>
        <v>1035</v>
      </c>
      <c r="AK28" s="84">
        <v>25</v>
      </c>
      <c r="AL28" s="118">
        <f t="shared" si="13"/>
        <v>562.5</v>
      </c>
    </row>
    <row r="29" spans="1:38" x14ac:dyDescent="0.3">
      <c r="A29" s="7" t="s">
        <v>206</v>
      </c>
      <c r="B29" s="4" t="s">
        <v>117</v>
      </c>
      <c r="C29" s="4" t="s">
        <v>29</v>
      </c>
      <c r="D29" s="5"/>
      <c r="E29" s="100"/>
      <c r="F29" s="26"/>
      <c r="G29" s="32"/>
      <c r="H29" s="51"/>
      <c r="I29" s="32"/>
      <c r="J29" s="48"/>
      <c r="K29" s="29"/>
      <c r="L29" s="48"/>
      <c r="M29" s="29"/>
      <c r="N29" s="48"/>
      <c r="O29" s="29"/>
      <c r="P29" s="48"/>
      <c r="Q29" s="32"/>
      <c r="R29" s="48"/>
      <c r="S29" s="29"/>
      <c r="T29" s="48"/>
      <c r="U29" s="92"/>
      <c r="V29" s="48"/>
      <c r="W29" s="29"/>
      <c r="X29" s="48"/>
      <c r="Y29" s="98"/>
      <c r="Z29" s="48"/>
      <c r="AA29" s="98">
        <v>34</v>
      </c>
      <c r="AB29" s="48"/>
      <c r="AC29" s="98">
        <v>34</v>
      </c>
      <c r="AD29" s="48">
        <f>+AC29*[1]Dublin!E31</f>
        <v>0</v>
      </c>
      <c r="AE29" s="81"/>
      <c r="AF29" s="127">
        <f t="shared" si="3"/>
        <v>0</v>
      </c>
      <c r="AG29" s="81"/>
      <c r="AH29" s="127">
        <f t="shared" si="11"/>
        <v>0</v>
      </c>
      <c r="AI29" s="81"/>
      <c r="AJ29" s="127">
        <f t="shared" si="14"/>
        <v>0</v>
      </c>
      <c r="AK29" s="84" t="s">
        <v>289</v>
      </c>
      <c r="AL29" s="118"/>
    </row>
    <row r="30" spans="1:38" x14ac:dyDescent="0.3">
      <c r="A30" s="7" t="s">
        <v>108</v>
      </c>
      <c r="B30" s="4" t="s">
        <v>4</v>
      </c>
      <c r="C30" s="4" t="s">
        <v>29</v>
      </c>
      <c r="D30" s="5" t="s">
        <v>30</v>
      </c>
      <c r="E30" s="100">
        <v>15</v>
      </c>
      <c r="F30" s="26"/>
      <c r="G30" s="32">
        <v>30</v>
      </c>
      <c r="H30" s="51">
        <f t="shared" si="0"/>
        <v>450</v>
      </c>
      <c r="I30" s="32">
        <v>33</v>
      </c>
      <c r="J30" s="48">
        <f t="shared" si="1"/>
        <v>495</v>
      </c>
      <c r="K30" s="29">
        <v>12</v>
      </c>
      <c r="L30" s="48">
        <f t="shared" si="2"/>
        <v>180</v>
      </c>
      <c r="M30" s="29">
        <v>12</v>
      </c>
      <c r="N30" s="48">
        <f t="shared" si="4"/>
        <v>180</v>
      </c>
      <c r="O30" s="29">
        <v>12</v>
      </c>
      <c r="P30" s="48">
        <f t="shared" si="5"/>
        <v>180</v>
      </c>
      <c r="Q30" s="32"/>
      <c r="R30" s="48">
        <f t="shared" si="6"/>
        <v>0</v>
      </c>
      <c r="S30" s="29">
        <v>55</v>
      </c>
      <c r="T30" s="48">
        <f t="shared" si="7"/>
        <v>825</v>
      </c>
      <c r="U30" s="92">
        <v>55</v>
      </c>
      <c r="V30" s="48">
        <f t="shared" si="8"/>
        <v>825</v>
      </c>
      <c r="W30" s="29">
        <v>50</v>
      </c>
      <c r="X30" s="48">
        <v>750</v>
      </c>
      <c r="Y30" s="98">
        <v>50</v>
      </c>
      <c r="Z30" s="48">
        <f t="shared" si="9"/>
        <v>750</v>
      </c>
      <c r="AA30" s="98">
        <v>50</v>
      </c>
      <c r="AB30" s="48">
        <f t="shared" si="10"/>
        <v>750</v>
      </c>
      <c r="AC30" s="98">
        <v>45</v>
      </c>
      <c r="AD30" s="48">
        <f>+AC30*[1]Dublin!E32</f>
        <v>675</v>
      </c>
      <c r="AE30" s="81">
        <v>58</v>
      </c>
      <c r="AF30" s="127">
        <f t="shared" si="3"/>
        <v>870</v>
      </c>
      <c r="AG30" s="81">
        <v>45</v>
      </c>
      <c r="AH30" s="127">
        <f t="shared" si="11"/>
        <v>675</v>
      </c>
      <c r="AI30" s="81">
        <v>35</v>
      </c>
      <c r="AJ30" s="127">
        <f t="shared" si="14"/>
        <v>525</v>
      </c>
      <c r="AK30" s="84">
        <v>35</v>
      </c>
      <c r="AL30" s="118">
        <f t="shared" si="13"/>
        <v>525</v>
      </c>
    </row>
    <row r="31" spans="1:38" x14ac:dyDescent="0.3">
      <c r="A31" s="7" t="s">
        <v>192</v>
      </c>
      <c r="B31" s="8" t="s">
        <v>4</v>
      </c>
      <c r="C31" s="8" t="s">
        <v>29</v>
      </c>
      <c r="D31" s="6" t="s">
        <v>30</v>
      </c>
      <c r="E31" s="100">
        <v>2252.8000000000002</v>
      </c>
      <c r="F31" s="26"/>
      <c r="G31" s="32">
        <v>0</v>
      </c>
      <c r="H31" s="51">
        <f t="shared" si="0"/>
        <v>0</v>
      </c>
      <c r="I31" s="32"/>
      <c r="J31" s="48">
        <f t="shared" si="1"/>
        <v>0</v>
      </c>
      <c r="K31" s="29">
        <v>0</v>
      </c>
      <c r="L31" s="48">
        <f t="shared" si="2"/>
        <v>0</v>
      </c>
      <c r="M31" s="29">
        <v>1</v>
      </c>
      <c r="N31" s="48">
        <f t="shared" si="4"/>
        <v>2252.8000000000002</v>
      </c>
      <c r="O31" s="29">
        <v>1</v>
      </c>
      <c r="P31" s="48">
        <f t="shared" si="5"/>
        <v>2252.8000000000002</v>
      </c>
      <c r="Q31" s="32">
        <v>1</v>
      </c>
      <c r="R31" s="48">
        <f t="shared" si="6"/>
        <v>2252.8000000000002</v>
      </c>
      <c r="S31" s="29">
        <v>0</v>
      </c>
      <c r="T31" s="48">
        <f t="shared" si="7"/>
        <v>0</v>
      </c>
      <c r="U31" s="92"/>
      <c r="V31" s="48">
        <f t="shared" si="8"/>
        <v>0</v>
      </c>
      <c r="W31" s="29">
        <v>1</v>
      </c>
      <c r="X31" s="91">
        <v>2252.8000000000002</v>
      </c>
      <c r="Y31" s="98"/>
      <c r="Z31" s="48">
        <f t="shared" si="9"/>
        <v>0</v>
      </c>
      <c r="AA31" s="98"/>
      <c r="AB31" s="48">
        <f t="shared" si="10"/>
        <v>0</v>
      </c>
      <c r="AC31" s="98"/>
      <c r="AD31" s="48">
        <f>+AC31*[1]Dublin!E33</f>
        <v>0</v>
      </c>
      <c r="AE31" s="81"/>
      <c r="AF31" s="127">
        <f t="shared" si="3"/>
        <v>0</v>
      </c>
      <c r="AG31" s="81"/>
      <c r="AH31" s="127">
        <f t="shared" si="11"/>
        <v>0</v>
      </c>
      <c r="AI31" s="81"/>
      <c r="AJ31" s="127">
        <f t="shared" si="14"/>
        <v>0</v>
      </c>
      <c r="AK31" s="84"/>
      <c r="AL31" s="118">
        <f t="shared" si="13"/>
        <v>0</v>
      </c>
    </row>
    <row r="32" spans="1:38" x14ac:dyDescent="0.3">
      <c r="A32" s="7" t="s">
        <v>109</v>
      </c>
      <c r="B32" s="8" t="s">
        <v>4</v>
      </c>
      <c r="C32" s="8" t="s">
        <v>29</v>
      </c>
      <c r="D32" s="6" t="s">
        <v>30</v>
      </c>
      <c r="E32" s="100">
        <v>65</v>
      </c>
      <c r="F32" s="26"/>
      <c r="G32" s="32">
        <v>3</v>
      </c>
      <c r="H32" s="51">
        <f t="shared" si="0"/>
        <v>195</v>
      </c>
      <c r="I32" s="32">
        <v>3</v>
      </c>
      <c r="J32" s="48">
        <f t="shared" si="1"/>
        <v>195</v>
      </c>
      <c r="K32" s="29">
        <v>3</v>
      </c>
      <c r="L32" s="48">
        <f t="shared" si="2"/>
        <v>195</v>
      </c>
      <c r="M32" s="29">
        <v>3</v>
      </c>
      <c r="N32" s="48">
        <f t="shared" si="4"/>
        <v>195</v>
      </c>
      <c r="O32" s="29">
        <v>3</v>
      </c>
      <c r="P32" s="48">
        <f t="shared" si="5"/>
        <v>195</v>
      </c>
      <c r="Q32" s="32">
        <v>3</v>
      </c>
      <c r="R32" s="48">
        <f t="shared" si="6"/>
        <v>195</v>
      </c>
      <c r="S32" s="29">
        <v>3</v>
      </c>
      <c r="T32" s="48">
        <f t="shared" si="7"/>
        <v>195</v>
      </c>
      <c r="U32" s="92">
        <v>3</v>
      </c>
      <c r="V32" s="48">
        <f t="shared" si="8"/>
        <v>195</v>
      </c>
      <c r="W32" s="29">
        <v>3</v>
      </c>
      <c r="X32" s="48">
        <v>195</v>
      </c>
      <c r="Y32" s="98">
        <v>3</v>
      </c>
      <c r="Z32" s="48">
        <f t="shared" si="9"/>
        <v>195</v>
      </c>
      <c r="AA32" s="98">
        <v>3</v>
      </c>
      <c r="AB32" s="48">
        <f t="shared" si="10"/>
        <v>195</v>
      </c>
      <c r="AC32" s="98"/>
      <c r="AD32" s="48">
        <f>+AC32*[1]Dublin!E34</f>
        <v>0</v>
      </c>
      <c r="AE32" s="81">
        <v>3</v>
      </c>
      <c r="AF32" s="127">
        <f t="shared" si="3"/>
        <v>195</v>
      </c>
      <c r="AG32" s="81">
        <v>3</v>
      </c>
      <c r="AH32" s="127">
        <f t="shared" si="11"/>
        <v>195</v>
      </c>
      <c r="AI32" s="81">
        <v>3</v>
      </c>
      <c r="AJ32" s="127">
        <f t="shared" si="14"/>
        <v>195</v>
      </c>
      <c r="AK32" s="84">
        <v>3</v>
      </c>
      <c r="AL32" s="118">
        <f t="shared" si="13"/>
        <v>195</v>
      </c>
    </row>
    <row r="33" spans="1:38" x14ac:dyDescent="0.3">
      <c r="A33" s="7" t="s">
        <v>113</v>
      </c>
      <c r="B33" s="8" t="s">
        <v>4</v>
      </c>
      <c r="C33" s="8" t="s">
        <v>29</v>
      </c>
      <c r="D33" s="6" t="s">
        <v>30</v>
      </c>
      <c r="E33" s="100">
        <v>15</v>
      </c>
      <c r="F33" s="28"/>
      <c r="G33" s="32">
        <v>0</v>
      </c>
      <c r="H33" s="51">
        <f t="shared" si="0"/>
        <v>0</v>
      </c>
      <c r="I33" s="32"/>
      <c r="J33" s="48">
        <f t="shared" si="1"/>
        <v>0</v>
      </c>
      <c r="K33" s="29">
        <v>0</v>
      </c>
      <c r="L33" s="48">
        <f t="shared" si="2"/>
        <v>0</v>
      </c>
      <c r="M33" s="29"/>
      <c r="N33" s="48">
        <f t="shared" si="4"/>
        <v>0</v>
      </c>
      <c r="O33" s="29"/>
      <c r="P33" s="48">
        <f t="shared" si="5"/>
        <v>0</v>
      </c>
      <c r="Q33" s="32"/>
      <c r="R33" s="48">
        <f t="shared" si="6"/>
        <v>0</v>
      </c>
      <c r="S33" s="29">
        <v>0</v>
      </c>
      <c r="T33" s="48">
        <f t="shared" si="7"/>
        <v>0</v>
      </c>
      <c r="U33" s="92"/>
      <c r="V33" s="48">
        <f t="shared" si="8"/>
        <v>0</v>
      </c>
      <c r="W33" s="29">
        <v>0</v>
      </c>
      <c r="X33" s="48">
        <v>0</v>
      </c>
      <c r="Y33" s="98"/>
      <c r="Z33" s="48">
        <f t="shared" si="9"/>
        <v>0</v>
      </c>
      <c r="AA33" s="98"/>
      <c r="AB33" s="48">
        <f t="shared" si="10"/>
        <v>0</v>
      </c>
      <c r="AC33" s="98"/>
      <c r="AD33" s="48">
        <f>+AC33*[1]Dublin!E35</f>
        <v>0</v>
      </c>
      <c r="AE33" s="81"/>
      <c r="AF33" s="127">
        <f t="shared" si="3"/>
        <v>0</v>
      </c>
      <c r="AG33" s="81"/>
      <c r="AH33" s="127">
        <f t="shared" si="11"/>
        <v>0</v>
      </c>
      <c r="AI33" s="81"/>
      <c r="AJ33" s="127">
        <f t="shared" si="14"/>
        <v>0</v>
      </c>
      <c r="AK33" s="84"/>
      <c r="AL33" s="118"/>
    </row>
    <row r="34" spans="1:38" x14ac:dyDescent="0.3">
      <c r="A34" s="7" t="s">
        <v>189</v>
      </c>
      <c r="B34" s="8" t="s">
        <v>4</v>
      </c>
      <c r="C34" s="8" t="s">
        <v>29</v>
      </c>
      <c r="D34" s="6" t="s">
        <v>30</v>
      </c>
      <c r="E34" s="100">
        <v>12</v>
      </c>
      <c r="F34" s="28"/>
      <c r="G34" s="32">
        <v>2</v>
      </c>
      <c r="H34" s="51">
        <f>+G34*E34</f>
        <v>24</v>
      </c>
      <c r="I34" s="32">
        <v>2</v>
      </c>
      <c r="J34" s="48">
        <f>+I34*E34</f>
        <v>24</v>
      </c>
      <c r="K34" s="29">
        <v>0</v>
      </c>
      <c r="L34" s="48">
        <f>+K34*E34</f>
        <v>0</v>
      </c>
      <c r="M34" s="29">
        <v>0</v>
      </c>
      <c r="N34" s="48">
        <f>+M34*E34</f>
        <v>0</v>
      </c>
      <c r="O34" s="29"/>
      <c r="P34" s="48">
        <f>+O34*E34</f>
        <v>0</v>
      </c>
      <c r="Q34" s="32"/>
      <c r="R34" s="48">
        <f>+Q34*E34</f>
        <v>0</v>
      </c>
      <c r="S34" s="29">
        <v>22</v>
      </c>
      <c r="T34" s="48">
        <f>+S34*E34</f>
        <v>264</v>
      </c>
      <c r="U34" s="92"/>
      <c r="V34" s="48">
        <f>+U34*E34</f>
        <v>0</v>
      </c>
      <c r="W34" s="29">
        <v>0</v>
      </c>
      <c r="X34" s="48">
        <v>0</v>
      </c>
      <c r="Y34" s="98">
        <v>61</v>
      </c>
      <c r="Z34" s="48">
        <f>+Y34*E34</f>
        <v>732</v>
      </c>
      <c r="AA34" s="98">
        <v>16</v>
      </c>
      <c r="AB34" s="48">
        <f t="shared" si="10"/>
        <v>192</v>
      </c>
      <c r="AC34" s="98">
        <v>1</v>
      </c>
      <c r="AD34" s="48">
        <f>+AC34*[1]Dublin!E36</f>
        <v>12</v>
      </c>
      <c r="AE34" s="81">
        <v>1</v>
      </c>
      <c r="AF34" s="127">
        <f t="shared" si="3"/>
        <v>12</v>
      </c>
      <c r="AG34" s="81">
        <v>1</v>
      </c>
      <c r="AH34" s="127">
        <f t="shared" si="11"/>
        <v>12</v>
      </c>
      <c r="AI34" s="81">
        <v>1</v>
      </c>
      <c r="AJ34" s="127">
        <f t="shared" si="14"/>
        <v>12</v>
      </c>
      <c r="AK34" s="84">
        <v>1</v>
      </c>
      <c r="AL34" s="118">
        <f t="shared" si="13"/>
        <v>12</v>
      </c>
    </row>
    <row r="35" spans="1:38" x14ac:dyDescent="0.3">
      <c r="A35" s="7" t="s">
        <v>196</v>
      </c>
      <c r="B35" s="8" t="s">
        <v>4</v>
      </c>
      <c r="C35" s="8" t="s">
        <v>29</v>
      </c>
      <c r="D35" s="6" t="s">
        <v>30</v>
      </c>
      <c r="E35" s="100">
        <v>3.6</v>
      </c>
      <c r="F35" s="28"/>
      <c r="G35" s="29"/>
      <c r="H35" s="97"/>
      <c r="I35" s="29"/>
      <c r="J35" s="91"/>
      <c r="K35" s="29"/>
      <c r="L35" s="91"/>
      <c r="M35" s="29"/>
      <c r="N35" s="91"/>
      <c r="O35" s="29"/>
      <c r="P35" s="91">
        <f>+O35*E35</f>
        <v>0</v>
      </c>
      <c r="Q35" s="29"/>
      <c r="R35" s="91">
        <f>+Q35*E35</f>
        <v>0</v>
      </c>
      <c r="S35" s="29"/>
      <c r="T35" s="91"/>
      <c r="U35" s="92"/>
      <c r="V35" s="91">
        <f>+U35*E35</f>
        <v>0</v>
      </c>
      <c r="W35" s="29"/>
      <c r="X35" s="91"/>
      <c r="Y35" s="98">
        <f>22+14+30+13+7+5+5+6+5+17</f>
        <v>124</v>
      </c>
      <c r="Z35" s="91">
        <f t="shared" ref="Z35:Z43" si="31">+Y35*E35</f>
        <v>446.40000000000003</v>
      </c>
      <c r="AA35" s="98"/>
      <c r="AB35" s="48">
        <f t="shared" si="10"/>
        <v>0</v>
      </c>
      <c r="AC35" s="98"/>
      <c r="AD35" s="48">
        <f>+AC35*[1]Dublin!E37</f>
        <v>0</v>
      </c>
      <c r="AE35" s="81">
        <v>12</v>
      </c>
      <c r="AF35" s="127">
        <f t="shared" si="3"/>
        <v>43.2</v>
      </c>
      <c r="AG35" s="81"/>
      <c r="AH35" s="127">
        <f t="shared" si="11"/>
        <v>0</v>
      </c>
      <c r="AI35" s="81"/>
      <c r="AJ35" s="127">
        <f t="shared" si="14"/>
        <v>0</v>
      </c>
      <c r="AK35" s="84">
        <v>10</v>
      </c>
      <c r="AL35" s="118">
        <f t="shared" si="13"/>
        <v>36</v>
      </c>
    </row>
    <row r="36" spans="1:38" x14ac:dyDescent="0.3">
      <c r="A36" s="7" t="s">
        <v>197</v>
      </c>
      <c r="B36" s="8" t="s">
        <v>4</v>
      </c>
      <c r="C36" s="8" t="s">
        <v>29</v>
      </c>
      <c r="D36" s="6" t="s">
        <v>30</v>
      </c>
      <c r="E36" s="100">
        <v>3.75</v>
      </c>
      <c r="F36" s="28"/>
      <c r="G36" s="29"/>
      <c r="H36" s="97"/>
      <c r="I36" s="29"/>
      <c r="J36" s="91"/>
      <c r="K36" s="29"/>
      <c r="L36" s="91"/>
      <c r="M36" s="29"/>
      <c r="N36" s="91"/>
      <c r="O36" s="29"/>
      <c r="P36" s="91">
        <f>+O36*E36</f>
        <v>0</v>
      </c>
      <c r="Q36" s="29"/>
      <c r="R36" s="91">
        <f>+Q36*E36</f>
        <v>0</v>
      </c>
      <c r="S36" s="29"/>
      <c r="T36" s="91"/>
      <c r="U36" s="92"/>
      <c r="V36" s="91">
        <f>+U36*E36</f>
        <v>0</v>
      </c>
      <c r="W36" s="29"/>
      <c r="X36" s="91"/>
      <c r="Y36" s="98">
        <f>3*20</f>
        <v>60</v>
      </c>
      <c r="Z36" s="91">
        <f t="shared" si="31"/>
        <v>225</v>
      </c>
      <c r="AA36" s="98"/>
      <c r="AB36" s="48">
        <f t="shared" si="10"/>
        <v>0</v>
      </c>
      <c r="AC36" s="98"/>
      <c r="AD36" s="48">
        <f>+AC36*[1]Dublin!E38</f>
        <v>0</v>
      </c>
      <c r="AE36" s="81"/>
      <c r="AF36" s="127">
        <f t="shared" si="3"/>
        <v>0</v>
      </c>
      <c r="AG36" s="81"/>
      <c r="AH36" s="127">
        <f t="shared" si="11"/>
        <v>0</v>
      </c>
      <c r="AI36" s="81"/>
      <c r="AJ36" s="127">
        <f t="shared" si="14"/>
        <v>0</v>
      </c>
      <c r="AK36" s="84"/>
      <c r="AL36" s="118"/>
    </row>
    <row r="37" spans="1:38" x14ac:dyDescent="0.3">
      <c r="A37" s="7" t="s">
        <v>198</v>
      </c>
      <c r="B37" s="8" t="s">
        <v>4</v>
      </c>
      <c r="C37" s="8" t="s">
        <v>29</v>
      </c>
      <c r="D37" s="6" t="s">
        <v>30</v>
      </c>
      <c r="E37" s="100">
        <v>1.85</v>
      </c>
      <c r="F37" s="28"/>
      <c r="G37" s="29"/>
      <c r="H37" s="97"/>
      <c r="I37" s="29"/>
      <c r="J37" s="91"/>
      <c r="K37" s="29"/>
      <c r="L37" s="91"/>
      <c r="M37" s="29"/>
      <c r="N37" s="91"/>
      <c r="O37" s="29"/>
      <c r="P37" s="91">
        <f>+O37*E37</f>
        <v>0</v>
      </c>
      <c r="Q37" s="29"/>
      <c r="R37" s="91">
        <f>+Q37*E37</f>
        <v>0</v>
      </c>
      <c r="S37" s="29"/>
      <c r="T37" s="91"/>
      <c r="U37" s="92"/>
      <c r="V37" s="91">
        <f>+U37*E37</f>
        <v>0</v>
      </c>
      <c r="W37" s="29"/>
      <c r="X37" s="91"/>
      <c r="Y37" s="98">
        <f>7*4</f>
        <v>28</v>
      </c>
      <c r="Z37" s="91">
        <f t="shared" si="31"/>
        <v>51.800000000000004</v>
      </c>
      <c r="AA37" s="98"/>
      <c r="AB37" s="48">
        <f t="shared" si="10"/>
        <v>0</v>
      </c>
      <c r="AC37" s="98"/>
      <c r="AD37" s="48">
        <f>+AC37*[1]Dublin!E39</f>
        <v>0</v>
      </c>
      <c r="AE37" s="81"/>
      <c r="AF37" s="127">
        <f t="shared" si="3"/>
        <v>0</v>
      </c>
      <c r="AG37" s="81"/>
      <c r="AH37" s="127">
        <f t="shared" si="11"/>
        <v>0</v>
      </c>
      <c r="AI37" s="81"/>
      <c r="AJ37" s="127">
        <f t="shared" si="14"/>
        <v>0</v>
      </c>
      <c r="AK37" s="84"/>
      <c r="AL37" s="118"/>
    </row>
    <row r="38" spans="1:38" x14ac:dyDescent="0.3">
      <c r="A38" s="7" t="s">
        <v>199</v>
      </c>
      <c r="B38" s="8" t="s">
        <v>4</v>
      </c>
      <c r="C38" s="8" t="s">
        <v>29</v>
      </c>
      <c r="D38" s="6" t="s">
        <v>30</v>
      </c>
      <c r="E38" s="100">
        <v>82.5</v>
      </c>
      <c r="F38" s="28"/>
      <c r="G38" s="29"/>
      <c r="H38" s="97"/>
      <c r="I38" s="29"/>
      <c r="J38" s="91"/>
      <c r="K38" s="29"/>
      <c r="L38" s="91"/>
      <c r="M38" s="29"/>
      <c r="N38" s="91"/>
      <c r="O38" s="29"/>
      <c r="P38" s="91">
        <f>+O38*E38</f>
        <v>0</v>
      </c>
      <c r="Q38" s="29"/>
      <c r="R38" s="91">
        <f>+Q38*E38</f>
        <v>0</v>
      </c>
      <c r="S38" s="29"/>
      <c r="T38" s="91"/>
      <c r="U38" s="92"/>
      <c r="V38" s="91">
        <f>+U38*E38</f>
        <v>0</v>
      </c>
      <c r="W38" s="29"/>
      <c r="X38" s="91"/>
      <c r="Y38" s="98">
        <v>3</v>
      </c>
      <c r="Z38" s="91">
        <f t="shared" si="31"/>
        <v>247.5</v>
      </c>
      <c r="AA38" s="98"/>
      <c r="AB38" s="48">
        <f t="shared" si="10"/>
        <v>0</v>
      </c>
      <c r="AC38" s="98"/>
      <c r="AD38" s="48">
        <f>+AC38*[1]Dublin!E40</f>
        <v>0</v>
      </c>
      <c r="AE38" s="81"/>
      <c r="AF38" s="127">
        <f t="shared" si="3"/>
        <v>0</v>
      </c>
      <c r="AG38" s="81"/>
      <c r="AH38" s="127">
        <f t="shared" si="11"/>
        <v>0</v>
      </c>
      <c r="AI38" s="81"/>
      <c r="AJ38" s="127">
        <f t="shared" si="14"/>
        <v>0</v>
      </c>
      <c r="AK38" s="84"/>
      <c r="AL38" s="118"/>
    </row>
    <row r="39" spans="1:38" x14ac:dyDescent="0.3">
      <c r="A39" s="7" t="s">
        <v>200</v>
      </c>
      <c r="B39" s="8" t="s">
        <v>4</v>
      </c>
      <c r="C39" s="8" t="s">
        <v>29</v>
      </c>
      <c r="D39" s="6" t="s">
        <v>30</v>
      </c>
      <c r="E39" s="153">
        <v>4</v>
      </c>
      <c r="F39" s="28"/>
      <c r="G39" s="29"/>
      <c r="H39" s="97"/>
      <c r="I39" s="29"/>
      <c r="J39" s="91"/>
      <c r="K39" s="29"/>
      <c r="L39" s="91"/>
      <c r="M39" s="29"/>
      <c r="N39" s="91"/>
      <c r="O39" s="29"/>
      <c r="P39" s="91"/>
      <c r="Q39" s="29"/>
      <c r="R39" s="91"/>
      <c r="S39" s="29"/>
      <c r="T39" s="91"/>
      <c r="U39" s="92"/>
      <c r="V39" s="91"/>
      <c r="W39" s="29"/>
      <c r="X39" s="91"/>
      <c r="Y39" s="98">
        <v>300</v>
      </c>
      <c r="Z39" s="91">
        <f t="shared" si="31"/>
        <v>1200</v>
      </c>
      <c r="AA39" s="98"/>
      <c r="AB39" s="48">
        <f t="shared" si="10"/>
        <v>0</v>
      </c>
      <c r="AC39" s="98"/>
      <c r="AD39" s="48">
        <f>+AC39*[1]Dublin!E41</f>
        <v>0</v>
      </c>
      <c r="AE39" s="81">
        <v>360</v>
      </c>
      <c r="AF39" s="127">
        <f t="shared" si="3"/>
        <v>1440</v>
      </c>
      <c r="AG39" s="81">
        <v>360</v>
      </c>
      <c r="AH39" s="127">
        <f t="shared" si="11"/>
        <v>1440</v>
      </c>
      <c r="AI39" s="81">
        <v>360</v>
      </c>
      <c r="AJ39" s="127">
        <f t="shared" si="14"/>
        <v>1440</v>
      </c>
      <c r="AK39" s="84">
        <v>360</v>
      </c>
      <c r="AL39" s="118">
        <f t="shared" si="13"/>
        <v>1440</v>
      </c>
    </row>
    <row r="40" spans="1:38" x14ac:dyDescent="0.3">
      <c r="A40" s="7" t="s">
        <v>202</v>
      </c>
      <c r="B40" s="8" t="s">
        <v>4</v>
      </c>
      <c r="C40" s="8" t="s">
        <v>29</v>
      </c>
      <c r="D40" s="6" t="s">
        <v>30</v>
      </c>
      <c r="E40" s="153">
        <v>4</v>
      </c>
      <c r="F40" s="28"/>
      <c r="G40" s="29"/>
      <c r="H40" s="97"/>
      <c r="I40" s="29"/>
      <c r="J40" s="91"/>
      <c r="K40" s="29"/>
      <c r="L40" s="91"/>
      <c r="M40" s="29"/>
      <c r="N40" s="91"/>
      <c r="O40" s="29"/>
      <c r="P40" s="91"/>
      <c r="Q40" s="29"/>
      <c r="R40" s="91"/>
      <c r="S40" s="29"/>
      <c r="T40" s="91"/>
      <c r="U40" s="92"/>
      <c r="V40" s="91"/>
      <c r="W40" s="29"/>
      <c r="X40" s="91"/>
      <c r="Y40" s="98">
        <v>46</v>
      </c>
      <c r="Z40" s="91">
        <f t="shared" si="31"/>
        <v>184</v>
      </c>
      <c r="AA40" s="98">
        <v>29</v>
      </c>
      <c r="AB40" s="48">
        <f t="shared" si="10"/>
        <v>116</v>
      </c>
      <c r="AC40" s="98"/>
      <c r="AD40" s="48">
        <f>+AC40*[1]Dublin!E42</f>
        <v>0</v>
      </c>
      <c r="AE40" s="81">
        <v>144</v>
      </c>
      <c r="AF40" s="127">
        <f t="shared" si="3"/>
        <v>576</v>
      </c>
      <c r="AG40" s="81">
        <v>144</v>
      </c>
      <c r="AH40" s="127">
        <f t="shared" si="11"/>
        <v>576</v>
      </c>
      <c r="AI40" s="81">
        <v>133</v>
      </c>
      <c r="AJ40" s="127">
        <f t="shared" si="14"/>
        <v>532</v>
      </c>
      <c r="AK40" s="84">
        <v>133</v>
      </c>
      <c r="AL40" s="118">
        <f t="shared" si="13"/>
        <v>532</v>
      </c>
    </row>
    <row r="41" spans="1:38" x14ac:dyDescent="0.3">
      <c r="A41" s="7" t="s">
        <v>178</v>
      </c>
      <c r="B41" s="8" t="s">
        <v>4</v>
      </c>
      <c r="C41" s="8" t="s">
        <v>29</v>
      </c>
      <c r="D41" s="6" t="s">
        <v>30</v>
      </c>
      <c r="E41" s="153">
        <v>4</v>
      </c>
      <c r="F41" s="28"/>
      <c r="G41" s="32">
        <v>0</v>
      </c>
      <c r="H41" s="51">
        <f t="shared" ref="H41:H42" si="32">+G41*E41</f>
        <v>0</v>
      </c>
      <c r="I41" s="32"/>
      <c r="J41" s="48">
        <f t="shared" ref="J41:J42" si="33">+I41*E41</f>
        <v>0</v>
      </c>
      <c r="K41" s="29">
        <v>0</v>
      </c>
      <c r="L41" s="48">
        <f t="shared" ref="L41:L42" si="34">+K41*E41</f>
        <v>0</v>
      </c>
      <c r="M41" s="29">
        <v>0</v>
      </c>
      <c r="N41" s="48">
        <f t="shared" ref="N41:N42" si="35">+M41*E41</f>
        <v>0</v>
      </c>
      <c r="O41" s="29">
        <v>60</v>
      </c>
      <c r="P41" s="48">
        <f t="shared" ref="P41:P42" si="36">+O41*E41</f>
        <v>240</v>
      </c>
      <c r="Q41" s="32"/>
      <c r="R41" s="48">
        <f>+Q41*E41</f>
        <v>0</v>
      </c>
      <c r="S41" s="29">
        <v>105</v>
      </c>
      <c r="T41" s="48">
        <f>+S41*E41</f>
        <v>420</v>
      </c>
      <c r="U41" s="92">
        <v>0</v>
      </c>
      <c r="V41" s="91">
        <f>+U41*E41</f>
        <v>0</v>
      </c>
      <c r="W41" s="29">
        <v>24</v>
      </c>
      <c r="X41" s="48">
        <v>96</v>
      </c>
      <c r="Y41" s="98">
        <v>32</v>
      </c>
      <c r="Z41" s="48">
        <f>+Y41*E41</f>
        <v>128</v>
      </c>
      <c r="AA41" s="98">
        <v>24</v>
      </c>
      <c r="AB41" s="48">
        <f>+AA41*E41</f>
        <v>96</v>
      </c>
      <c r="AC41" s="98"/>
      <c r="AD41" s="48">
        <f>+AC41*[1]Dublin!E43</f>
        <v>0</v>
      </c>
      <c r="AE41" s="81">
        <v>18</v>
      </c>
      <c r="AF41" s="127">
        <f t="shared" si="3"/>
        <v>72</v>
      </c>
      <c r="AG41" s="81">
        <v>18</v>
      </c>
      <c r="AH41" s="127">
        <f t="shared" si="11"/>
        <v>72</v>
      </c>
      <c r="AI41" s="81">
        <v>18</v>
      </c>
      <c r="AJ41" s="127">
        <f t="shared" si="14"/>
        <v>72</v>
      </c>
      <c r="AK41" s="84"/>
      <c r="AL41" s="118"/>
    </row>
    <row r="42" spans="1:38" x14ac:dyDescent="0.3">
      <c r="A42" s="7" t="s">
        <v>179</v>
      </c>
      <c r="B42" s="8" t="s">
        <v>4</v>
      </c>
      <c r="C42" s="8" t="s">
        <v>29</v>
      </c>
      <c r="D42" s="6" t="s">
        <v>30</v>
      </c>
      <c r="E42" s="100">
        <v>3</v>
      </c>
      <c r="F42" s="28"/>
      <c r="G42" s="29"/>
      <c r="H42" s="51">
        <f t="shared" si="32"/>
        <v>0</v>
      </c>
      <c r="I42" s="29"/>
      <c r="J42" s="48">
        <f t="shared" si="33"/>
        <v>0</v>
      </c>
      <c r="K42" s="29"/>
      <c r="L42" s="48">
        <f t="shared" si="34"/>
        <v>0</v>
      </c>
      <c r="M42" s="29"/>
      <c r="N42" s="48">
        <f t="shared" si="35"/>
        <v>0</v>
      </c>
      <c r="O42" s="29">
        <v>580</v>
      </c>
      <c r="P42" s="48">
        <f t="shared" si="36"/>
        <v>1740</v>
      </c>
      <c r="Q42" s="32">
        <v>580</v>
      </c>
      <c r="R42" s="48">
        <f>+Q42*E42</f>
        <v>1740</v>
      </c>
      <c r="S42" s="29">
        <v>65</v>
      </c>
      <c r="T42" s="48">
        <f>+S42*E42</f>
        <v>195</v>
      </c>
      <c r="U42" s="92"/>
      <c r="V42" s="48">
        <f>+U42*E42</f>
        <v>0</v>
      </c>
      <c r="W42" s="29">
        <v>65</v>
      </c>
      <c r="X42" s="48">
        <v>195</v>
      </c>
      <c r="Y42" s="29"/>
      <c r="Z42" s="48">
        <f>+Y42*E42</f>
        <v>0</v>
      </c>
      <c r="AA42" s="29"/>
      <c r="AB42" s="48">
        <f>+AA42*E42</f>
        <v>0</v>
      </c>
      <c r="AC42" s="29"/>
      <c r="AD42" s="48">
        <f>+AC42*[1]Dublin!E44</f>
        <v>0</v>
      </c>
      <c r="AE42" s="81"/>
      <c r="AF42" s="127">
        <f t="shared" si="3"/>
        <v>0</v>
      </c>
      <c r="AG42" s="81"/>
      <c r="AH42" s="127">
        <f t="shared" si="11"/>
        <v>0</v>
      </c>
      <c r="AI42" s="81"/>
      <c r="AJ42" s="127">
        <f t="shared" si="14"/>
        <v>0</v>
      </c>
      <c r="AK42" s="84"/>
      <c r="AL42" s="118"/>
    </row>
    <row r="43" spans="1:38" x14ac:dyDescent="0.3">
      <c r="A43" s="7" t="s">
        <v>201</v>
      </c>
      <c r="B43" s="8" t="s">
        <v>4</v>
      </c>
      <c r="C43" s="8" t="s">
        <v>29</v>
      </c>
      <c r="D43" s="6" t="s">
        <v>30</v>
      </c>
      <c r="E43" s="100">
        <v>350</v>
      </c>
      <c r="F43" s="28"/>
      <c r="G43" s="29"/>
      <c r="H43" s="97"/>
      <c r="I43" s="29"/>
      <c r="J43" s="91"/>
      <c r="K43" s="29"/>
      <c r="L43" s="91"/>
      <c r="M43" s="29"/>
      <c r="N43" s="91"/>
      <c r="O43" s="29"/>
      <c r="P43" s="91"/>
      <c r="Q43" s="29"/>
      <c r="R43" s="91"/>
      <c r="S43" s="29"/>
      <c r="T43" s="91"/>
      <c r="U43" s="92"/>
      <c r="V43" s="91"/>
      <c r="W43" s="29"/>
      <c r="X43" s="91"/>
      <c r="Y43" s="98">
        <v>1</v>
      </c>
      <c r="Z43" s="91">
        <f t="shared" si="31"/>
        <v>350</v>
      </c>
      <c r="AA43" s="98">
        <v>2</v>
      </c>
      <c r="AB43" s="48">
        <f t="shared" si="10"/>
        <v>700</v>
      </c>
      <c r="AC43" s="98"/>
      <c r="AD43" s="48">
        <f>+AC43*[1]Dublin!E45</f>
        <v>0</v>
      </c>
      <c r="AE43" s="81"/>
      <c r="AF43" s="127">
        <f t="shared" si="3"/>
        <v>0</v>
      </c>
      <c r="AG43" s="81"/>
      <c r="AH43" s="127">
        <f t="shared" si="11"/>
        <v>0</v>
      </c>
      <c r="AI43" s="81"/>
      <c r="AJ43" s="127">
        <f t="shared" si="14"/>
        <v>0</v>
      </c>
      <c r="AK43" s="84"/>
      <c r="AL43" s="118"/>
    </row>
    <row r="44" spans="1:38" x14ac:dyDescent="0.3">
      <c r="A44" s="7" t="s">
        <v>205</v>
      </c>
      <c r="B44" s="8" t="s">
        <v>117</v>
      </c>
      <c r="C44" s="8" t="s">
        <v>29</v>
      </c>
      <c r="D44" s="6"/>
      <c r="E44" s="100"/>
      <c r="F44" s="28"/>
      <c r="G44" s="29"/>
      <c r="H44" s="97"/>
      <c r="I44" s="29"/>
      <c r="J44" s="91"/>
      <c r="K44" s="29"/>
      <c r="L44" s="91"/>
      <c r="M44" s="29"/>
      <c r="N44" s="91"/>
      <c r="O44" s="29"/>
      <c r="P44" s="91"/>
      <c r="Q44" s="29"/>
      <c r="R44" s="91"/>
      <c r="S44" s="29"/>
      <c r="T44" s="91"/>
      <c r="U44" s="92"/>
      <c r="V44" s="91"/>
      <c r="W44" s="29"/>
      <c r="X44" s="91"/>
      <c r="Y44" s="98"/>
      <c r="Z44" s="91"/>
      <c r="AA44" s="98">
        <v>7</v>
      </c>
      <c r="AB44" s="48"/>
      <c r="AC44" s="98"/>
      <c r="AD44" s="48">
        <f>+AC44*[1]Dublin!E46</f>
        <v>0</v>
      </c>
      <c r="AE44" s="81"/>
      <c r="AF44" s="127">
        <f t="shared" si="3"/>
        <v>0</v>
      </c>
      <c r="AG44" s="81"/>
      <c r="AH44" s="127">
        <f t="shared" si="11"/>
        <v>0</v>
      </c>
      <c r="AI44" s="81"/>
      <c r="AJ44" s="127">
        <f t="shared" si="14"/>
        <v>0</v>
      </c>
      <c r="AK44" s="243"/>
      <c r="AL44" s="118"/>
    </row>
    <row r="45" spans="1:38" x14ac:dyDescent="0.3">
      <c r="A45" s="7" t="s">
        <v>208</v>
      </c>
      <c r="B45" s="8"/>
      <c r="C45" s="8" t="s">
        <v>29</v>
      </c>
      <c r="D45" s="6"/>
      <c r="E45" s="100"/>
      <c r="F45" s="28"/>
      <c r="G45" s="29"/>
      <c r="H45" s="97"/>
      <c r="I45" s="29"/>
      <c r="J45" s="91"/>
      <c r="K45" s="29"/>
      <c r="L45" s="91"/>
      <c r="M45" s="29"/>
      <c r="N45" s="91"/>
      <c r="O45" s="29"/>
      <c r="P45" s="91"/>
      <c r="Q45" s="29"/>
      <c r="R45" s="91"/>
      <c r="S45" s="29"/>
      <c r="T45" s="91"/>
      <c r="U45" s="92"/>
      <c r="V45" s="91"/>
      <c r="W45" s="29"/>
      <c r="X45" s="91"/>
      <c r="Y45" s="98"/>
      <c r="Z45" s="91"/>
      <c r="AA45" s="98">
        <v>6</v>
      </c>
      <c r="AB45" s="48"/>
      <c r="AC45" s="98"/>
      <c r="AD45" s="48">
        <f>+AC45*[1]Dublin!E47</f>
        <v>0</v>
      </c>
      <c r="AE45" s="81">
        <v>6</v>
      </c>
      <c r="AF45" s="127">
        <f t="shared" si="3"/>
        <v>0</v>
      </c>
      <c r="AG45" s="152">
        <v>6</v>
      </c>
      <c r="AH45" s="127">
        <f t="shared" si="11"/>
        <v>0</v>
      </c>
      <c r="AI45" s="152">
        <v>6</v>
      </c>
      <c r="AJ45" s="158">
        <f t="shared" si="14"/>
        <v>0</v>
      </c>
      <c r="AK45" s="243">
        <v>6</v>
      </c>
      <c r="AL45" s="118"/>
    </row>
    <row r="46" spans="1:38" x14ac:dyDescent="0.3">
      <c r="A46" s="7" t="s">
        <v>209</v>
      </c>
      <c r="B46" s="8" t="s">
        <v>4</v>
      </c>
      <c r="C46" s="8" t="s">
        <v>29</v>
      </c>
      <c r="D46" s="6"/>
      <c r="E46" s="100"/>
      <c r="F46" s="28"/>
      <c r="G46" s="29"/>
      <c r="H46" s="97"/>
      <c r="I46" s="29"/>
      <c r="J46" s="91"/>
      <c r="K46" s="29"/>
      <c r="L46" s="91"/>
      <c r="M46" s="29"/>
      <c r="N46" s="91"/>
      <c r="O46" s="29"/>
      <c r="P46" s="91"/>
      <c r="Q46" s="29"/>
      <c r="R46" s="91"/>
      <c r="S46" s="29"/>
      <c r="T46" s="91"/>
      <c r="U46" s="92"/>
      <c r="V46" s="91"/>
      <c r="W46" s="29"/>
      <c r="X46" s="91"/>
      <c r="Y46" s="98"/>
      <c r="Z46" s="91"/>
      <c r="AA46" s="98">
        <v>1</v>
      </c>
      <c r="AB46" s="48"/>
      <c r="AC46" s="98"/>
      <c r="AD46" s="48">
        <f>+AC46*[1]Dublin!E48</f>
        <v>0</v>
      </c>
      <c r="AE46" s="81">
        <v>1</v>
      </c>
      <c r="AF46" s="127">
        <f t="shared" si="3"/>
        <v>0</v>
      </c>
      <c r="AG46" s="152">
        <v>1</v>
      </c>
      <c r="AH46" s="127">
        <f t="shared" si="11"/>
        <v>0</v>
      </c>
      <c r="AI46" s="152">
        <v>1</v>
      </c>
      <c r="AJ46" s="158">
        <f t="shared" si="14"/>
        <v>0</v>
      </c>
      <c r="AK46" s="243">
        <v>1</v>
      </c>
      <c r="AL46" s="118"/>
    </row>
    <row r="47" spans="1:38" x14ac:dyDescent="0.3">
      <c r="A47" s="7" t="s">
        <v>168</v>
      </c>
      <c r="B47" s="8" t="s">
        <v>15</v>
      </c>
      <c r="C47" s="8" t="s">
        <v>135</v>
      </c>
      <c r="D47" s="6" t="s">
        <v>30</v>
      </c>
      <c r="E47" s="100"/>
      <c r="F47" s="28"/>
      <c r="G47" s="29"/>
      <c r="H47" s="97"/>
      <c r="I47" s="29"/>
      <c r="J47" s="91"/>
      <c r="K47" s="29">
        <v>5</v>
      </c>
      <c r="L47" s="91">
        <f>+K47*E47</f>
        <v>0</v>
      </c>
      <c r="M47" s="29">
        <v>5</v>
      </c>
      <c r="N47" s="91">
        <f>+M47*E47</f>
        <v>0</v>
      </c>
      <c r="O47" s="29">
        <v>0.47499999999999998</v>
      </c>
      <c r="P47" s="91">
        <f>+O47*E47</f>
        <v>0</v>
      </c>
      <c r="Q47" s="29">
        <v>4</v>
      </c>
      <c r="R47" s="91">
        <f>+Q47*E47</f>
        <v>0</v>
      </c>
      <c r="S47" s="29">
        <v>7</v>
      </c>
      <c r="T47" s="91">
        <f>+S47*E47</f>
        <v>0</v>
      </c>
      <c r="U47" s="92"/>
      <c r="V47" s="91">
        <f>+U47*E47</f>
        <v>0</v>
      </c>
      <c r="W47" s="29">
        <v>7</v>
      </c>
      <c r="X47" s="91">
        <v>0</v>
      </c>
      <c r="Y47" s="98">
        <v>7</v>
      </c>
      <c r="Z47" s="91">
        <f>+Y47*E47</f>
        <v>0</v>
      </c>
      <c r="AA47" s="98">
        <v>5</v>
      </c>
      <c r="AB47" s="91">
        <f>+AA47*E47</f>
        <v>0</v>
      </c>
      <c r="AC47" s="98">
        <v>4</v>
      </c>
      <c r="AD47" s="48">
        <f>+AC47*[1]Dublin!E49</f>
        <v>0</v>
      </c>
      <c r="AE47" s="81">
        <v>4</v>
      </c>
      <c r="AF47" s="127">
        <f t="shared" si="3"/>
        <v>0</v>
      </c>
      <c r="AG47" s="81"/>
      <c r="AH47" s="127">
        <f t="shared" si="11"/>
        <v>0</v>
      </c>
      <c r="AI47" s="81">
        <v>3</v>
      </c>
      <c r="AJ47" s="158">
        <f t="shared" si="14"/>
        <v>0</v>
      </c>
      <c r="AK47" s="243">
        <v>4</v>
      </c>
      <c r="AL47" s="118"/>
    </row>
    <row r="48" spans="1:38" x14ac:dyDescent="0.3">
      <c r="A48" s="7" t="s">
        <v>184</v>
      </c>
      <c r="B48" s="8" t="s">
        <v>15</v>
      </c>
      <c r="C48" s="8" t="s">
        <v>135</v>
      </c>
      <c r="D48" s="6" t="s">
        <v>30</v>
      </c>
      <c r="E48" s="100"/>
      <c r="F48" s="28"/>
      <c r="G48" s="32"/>
      <c r="H48" s="51"/>
      <c r="I48" s="32"/>
      <c r="J48" s="48"/>
      <c r="K48" s="29"/>
      <c r="L48" s="48"/>
      <c r="M48" s="29"/>
      <c r="N48" s="48"/>
      <c r="O48" s="29"/>
      <c r="P48" s="48"/>
      <c r="Q48" s="32">
        <v>3</v>
      </c>
      <c r="R48" s="48"/>
      <c r="S48" s="29">
        <v>0</v>
      </c>
      <c r="T48" s="48">
        <f t="shared" si="7"/>
        <v>0</v>
      </c>
      <c r="U48" s="92">
        <v>7</v>
      </c>
      <c r="V48" s="48">
        <f t="shared" si="8"/>
        <v>0</v>
      </c>
      <c r="W48" s="29">
        <v>7</v>
      </c>
      <c r="X48" s="48">
        <v>0</v>
      </c>
      <c r="Y48" s="98">
        <v>1</v>
      </c>
      <c r="Z48" s="48">
        <f t="shared" ref="Z48:Z83" si="37">+Y48*E48</f>
        <v>0</v>
      </c>
      <c r="AA48" s="98"/>
      <c r="AB48" s="48">
        <f t="shared" si="10"/>
        <v>0</v>
      </c>
      <c r="AC48" s="98">
        <v>2</v>
      </c>
      <c r="AD48" s="48">
        <f>+AC48*[1]Dublin!E50</f>
        <v>0</v>
      </c>
      <c r="AE48" s="81">
        <v>2</v>
      </c>
      <c r="AF48" s="127">
        <f t="shared" si="3"/>
        <v>0</v>
      </c>
      <c r="AG48" s="81"/>
      <c r="AH48" s="127">
        <f t="shared" si="11"/>
        <v>0</v>
      </c>
      <c r="AI48" s="81">
        <v>2</v>
      </c>
      <c r="AJ48" s="158">
        <f t="shared" si="14"/>
        <v>0</v>
      </c>
      <c r="AK48" s="243">
        <v>2</v>
      </c>
      <c r="AL48" s="118"/>
    </row>
    <row r="49" spans="1:38" x14ac:dyDescent="0.3">
      <c r="A49" s="7" t="s">
        <v>263</v>
      </c>
      <c r="B49" s="8" t="s">
        <v>117</v>
      </c>
      <c r="C49" s="8" t="s">
        <v>135</v>
      </c>
      <c r="D49" s="6" t="s">
        <v>30</v>
      </c>
      <c r="E49" s="153">
        <v>81</v>
      </c>
      <c r="F49" s="28"/>
      <c r="G49" s="29"/>
      <c r="H49" s="97"/>
      <c r="I49" s="29"/>
      <c r="J49" s="91"/>
      <c r="K49" s="29"/>
      <c r="L49" s="91"/>
      <c r="M49" s="29"/>
      <c r="N49" s="91"/>
      <c r="O49" s="29"/>
      <c r="P49" s="91"/>
      <c r="Q49" s="29"/>
      <c r="R49" s="91"/>
      <c r="S49" s="29"/>
      <c r="T49" s="91"/>
      <c r="U49" s="92"/>
      <c r="V49" s="91"/>
      <c r="W49" s="29"/>
      <c r="X49" s="91"/>
      <c r="Y49" s="98"/>
      <c r="Z49" s="91"/>
      <c r="AA49" s="98"/>
      <c r="AB49" s="91"/>
      <c r="AC49" s="98"/>
      <c r="AD49" s="91"/>
      <c r="AE49" s="81"/>
      <c r="AF49" s="127"/>
      <c r="AG49" s="81">
        <v>7</v>
      </c>
      <c r="AH49" s="127">
        <f t="shared" si="11"/>
        <v>567</v>
      </c>
      <c r="AI49" s="81">
        <v>3</v>
      </c>
      <c r="AJ49" s="127">
        <f t="shared" si="14"/>
        <v>243</v>
      </c>
      <c r="AK49" s="243">
        <v>4</v>
      </c>
      <c r="AL49" s="118">
        <f t="shared" si="13"/>
        <v>324</v>
      </c>
    </row>
    <row r="50" spans="1:38" x14ac:dyDescent="0.3">
      <c r="A50" s="7" t="s">
        <v>115</v>
      </c>
      <c r="B50" s="8" t="s">
        <v>117</v>
      </c>
      <c r="C50" s="8" t="s">
        <v>135</v>
      </c>
      <c r="D50" s="6" t="s">
        <v>30</v>
      </c>
      <c r="E50" s="153">
        <v>81</v>
      </c>
      <c r="F50" s="26"/>
      <c r="G50" s="32">
        <v>1</v>
      </c>
      <c r="H50" s="51">
        <f t="shared" si="0"/>
        <v>81</v>
      </c>
      <c r="I50" s="32">
        <v>1</v>
      </c>
      <c r="J50" s="48">
        <f t="shared" si="1"/>
        <v>81</v>
      </c>
      <c r="K50" s="29">
        <v>0.5</v>
      </c>
      <c r="L50" s="48">
        <f t="shared" si="2"/>
        <v>40.5</v>
      </c>
      <c r="M50" s="29">
        <v>0.5</v>
      </c>
      <c r="N50" s="48">
        <f t="shared" si="4"/>
        <v>40.5</v>
      </c>
      <c r="O50" s="29">
        <v>0.5</v>
      </c>
      <c r="P50" s="48">
        <f t="shared" si="5"/>
        <v>40.5</v>
      </c>
      <c r="Q50" s="32">
        <v>5</v>
      </c>
      <c r="R50" s="48">
        <f t="shared" si="6"/>
        <v>405</v>
      </c>
      <c r="S50" s="29">
        <v>1</v>
      </c>
      <c r="T50" s="48">
        <f t="shared" si="7"/>
        <v>81</v>
      </c>
      <c r="U50" s="92">
        <v>1</v>
      </c>
      <c r="V50" s="48">
        <f t="shared" si="8"/>
        <v>81</v>
      </c>
      <c r="W50" s="29">
        <v>43</v>
      </c>
      <c r="X50" s="48">
        <v>3483</v>
      </c>
      <c r="Y50" s="98">
        <v>3</v>
      </c>
      <c r="Z50" s="48">
        <f t="shared" si="37"/>
        <v>243</v>
      </c>
      <c r="AA50" s="98">
        <v>1</v>
      </c>
      <c r="AB50" s="48">
        <f t="shared" si="10"/>
        <v>81</v>
      </c>
      <c r="AC50" s="98"/>
      <c r="AD50" s="48">
        <f>+AC50*[1]Dublin!E51</f>
        <v>0</v>
      </c>
      <c r="AE50" s="81"/>
      <c r="AF50" s="127">
        <f t="shared" si="3"/>
        <v>0</v>
      </c>
      <c r="AG50" s="81"/>
      <c r="AH50" s="127">
        <f t="shared" si="11"/>
        <v>0</v>
      </c>
      <c r="AI50" s="81"/>
      <c r="AJ50" s="127">
        <f t="shared" si="14"/>
        <v>0</v>
      </c>
      <c r="AK50" s="84"/>
      <c r="AL50" s="118"/>
    </row>
    <row r="51" spans="1:38" x14ac:dyDescent="0.3">
      <c r="A51" s="7" t="s">
        <v>137</v>
      </c>
      <c r="B51" s="8" t="s">
        <v>117</v>
      </c>
      <c r="C51" s="8" t="s">
        <v>135</v>
      </c>
      <c r="D51" s="6" t="s">
        <v>30</v>
      </c>
      <c r="E51" s="153">
        <v>81</v>
      </c>
      <c r="F51" s="28"/>
      <c r="G51" s="32">
        <v>1</v>
      </c>
      <c r="H51" s="51">
        <f t="shared" si="0"/>
        <v>81</v>
      </c>
      <c r="I51" s="32">
        <v>1</v>
      </c>
      <c r="J51" s="48">
        <f t="shared" si="1"/>
        <v>81</v>
      </c>
      <c r="K51" s="29">
        <v>1</v>
      </c>
      <c r="L51" s="48">
        <f t="shared" si="2"/>
        <v>81</v>
      </c>
      <c r="M51" s="29">
        <v>1</v>
      </c>
      <c r="N51" s="48">
        <f t="shared" si="4"/>
        <v>81</v>
      </c>
      <c r="O51" s="29">
        <v>1</v>
      </c>
      <c r="P51" s="48">
        <f t="shared" si="5"/>
        <v>81</v>
      </c>
      <c r="Q51" s="32">
        <v>1</v>
      </c>
      <c r="R51" s="48">
        <f t="shared" si="6"/>
        <v>81</v>
      </c>
      <c r="S51" s="29">
        <v>1</v>
      </c>
      <c r="T51" s="48">
        <f t="shared" si="7"/>
        <v>81</v>
      </c>
      <c r="U51" s="92">
        <v>1</v>
      </c>
      <c r="V51" s="48">
        <f t="shared" si="8"/>
        <v>81</v>
      </c>
      <c r="W51" s="29">
        <v>1</v>
      </c>
      <c r="X51" s="48">
        <v>81</v>
      </c>
      <c r="Y51" s="98">
        <v>1</v>
      </c>
      <c r="Z51" s="48">
        <f t="shared" si="37"/>
        <v>81</v>
      </c>
      <c r="AA51" s="98">
        <v>1</v>
      </c>
      <c r="AB51" s="48">
        <f t="shared" si="10"/>
        <v>81</v>
      </c>
      <c r="AC51" s="98">
        <v>1</v>
      </c>
      <c r="AD51" s="48">
        <f>+AC51*[1]Dublin!E52</f>
        <v>81</v>
      </c>
      <c r="AE51" s="81">
        <v>1</v>
      </c>
      <c r="AF51" s="127">
        <f t="shared" si="3"/>
        <v>81</v>
      </c>
      <c r="AG51" s="81">
        <v>1</v>
      </c>
      <c r="AH51" s="127"/>
      <c r="AI51" s="81">
        <v>1</v>
      </c>
      <c r="AJ51" s="127">
        <f t="shared" si="14"/>
        <v>81</v>
      </c>
      <c r="AK51" s="84">
        <v>1</v>
      </c>
      <c r="AL51" s="118">
        <f t="shared" si="13"/>
        <v>81</v>
      </c>
    </row>
    <row r="52" spans="1:38" x14ac:dyDescent="0.3">
      <c r="A52" s="7" t="s">
        <v>118</v>
      </c>
      <c r="B52" s="8" t="s">
        <v>117</v>
      </c>
      <c r="C52" s="8" t="s">
        <v>135</v>
      </c>
      <c r="D52" s="6" t="s">
        <v>30</v>
      </c>
      <c r="E52" s="153">
        <v>81</v>
      </c>
      <c r="F52" s="26"/>
      <c r="G52" s="32">
        <v>50</v>
      </c>
      <c r="H52" s="51">
        <f t="shared" si="0"/>
        <v>4050</v>
      </c>
      <c r="I52" s="32">
        <v>33</v>
      </c>
      <c r="J52" s="48">
        <f t="shared" si="1"/>
        <v>2673</v>
      </c>
      <c r="K52" s="29">
        <v>10</v>
      </c>
      <c r="L52" s="48">
        <f t="shared" si="2"/>
        <v>810</v>
      </c>
      <c r="M52" s="29">
        <v>29</v>
      </c>
      <c r="N52" s="48">
        <f t="shared" si="4"/>
        <v>2349</v>
      </c>
      <c r="O52" s="29">
        <v>8</v>
      </c>
      <c r="P52" s="48">
        <f t="shared" si="5"/>
        <v>648</v>
      </c>
      <c r="Q52" s="32">
        <v>9</v>
      </c>
      <c r="R52" s="48">
        <f t="shared" si="6"/>
        <v>729</v>
      </c>
      <c r="S52" s="29">
        <v>8</v>
      </c>
      <c r="T52" s="48">
        <f t="shared" si="7"/>
        <v>648</v>
      </c>
      <c r="U52" s="92">
        <v>8</v>
      </c>
      <c r="V52" s="48">
        <f t="shared" si="8"/>
        <v>648</v>
      </c>
      <c r="W52" s="29">
        <v>7</v>
      </c>
      <c r="X52" s="48">
        <v>567</v>
      </c>
      <c r="Y52" s="98">
        <v>7</v>
      </c>
      <c r="Z52" s="48">
        <f t="shared" si="37"/>
        <v>567</v>
      </c>
      <c r="AA52" s="98">
        <v>3</v>
      </c>
      <c r="AB52" s="48">
        <f t="shared" si="10"/>
        <v>243</v>
      </c>
      <c r="AC52" s="98">
        <v>3</v>
      </c>
      <c r="AD52" s="48">
        <f>+AC52*[1]Dublin!E53</f>
        <v>243</v>
      </c>
      <c r="AE52" s="81">
        <v>6</v>
      </c>
      <c r="AF52" s="127">
        <f t="shared" si="3"/>
        <v>486</v>
      </c>
      <c r="AG52" s="81">
        <v>6</v>
      </c>
      <c r="AH52" s="127">
        <f t="shared" si="11"/>
        <v>486</v>
      </c>
      <c r="AI52" s="81">
        <v>4</v>
      </c>
      <c r="AJ52" s="127">
        <f t="shared" si="14"/>
        <v>324</v>
      </c>
      <c r="AK52" s="84">
        <v>3</v>
      </c>
      <c r="AL52" s="118">
        <f t="shared" si="13"/>
        <v>243</v>
      </c>
    </row>
    <row r="53" spans="1:38" x14ac:dyDescent="0.3">
      <c r="A53" s="7" t="s">
        <v>174</v>
      </c>
      <c r="B53" s="8" t="s">
        <v>117</v>
      </c>
      <c r="C53" s="8" t="s">
        <v>135</v>
      </c>
      <c r="D53" s="6" t="s">
        <v>161</v>
      </c>
      <c r="E53" s="153">
        <v>81</v>
      </c>
      <c r="F53" s="26"/>
      <c r="G53" s="32"/>
      <c r="H53" s="51"/>
      <c r="I53" s="32"/>
      <c r="J53" s="48">
        <f t="shared" si="1"/>
        <v>0</v>
      </c>
      <c r="K53" s="29">
        <v>0</v>
      </c>
      <c r="L53" s="48">
        <f t="shared" si="2"/>
        <v>0</v>
      </c>
      <c r="M53" s="29">
        <v>5</v>
      </c>
      <c r="N53" s="48">
        <f t="shared" si="4"/>
        <v>405</v>
      </c>
      <c r="O53" s="29">
        <v>3</v>
      </c>
      <c r="P53" s="48">
        <f t="shared" si="5"/>
        <v>243</v>
      </c>
      <c r="Q53" s="32">
        <v>4</v>
      </c>
      <c r="R53" s="48">
        <f t="shared" si="6"/>
        <v>324</v>
      </c>
      <c r="S53" s="29">
        <v>6</v>
      </c>
      <c r="T53" s="48">
        <f t="shared" si="7"/>
        <v>486</v>
      </c>
      <c r="U53" s="92">
        <v>11</v>
      </c>
      <c r="V53" s="48">
        <f t="shared" si="8"/>
        <v>891</v>
      </c>
      <c r="W53" s="29">
        <v>10</v>
      </c>
      <c r="X53" s="48">
        <v>810</v>
      </c>
      <c r="Y53" s="98">
        <v>3</v>
      </c>
      <c r="Z53" s="48">
        <f t="shared" si="37"/>
        <v>243</v>
      </c>
      <c r="AA53" s="98">
        <v>14</v>
      </c>
      <c r="AB53" s="48">
        <f t="shared" si="10"/>
        <v>1134</v>
      </c>
      <c r="AC53" s="98">
        <v>13</v>
      </c>
      <c r="AD53" s="48">
        <f>+AC53*[1]Dublin!E54</f>
        <v>1053</v>
      </c>
      <c r="AE53" s="81">
        <v>11</v>
      </c>
      <c r="AF53" s="127">
        <f t="shared" si="3"/>
        <v>891</v>
      </c>
      <c r="AG53" s="81">
        <v>5</v>
      </c>
      <c r="AH53" s="127">
        <f t="shared" si="11"/>
        <v>405</v>
      </c>
      <c r="AI53" s="81">
        <v>5</v>
      </c>
      <c r="AJ53" s="127">
        <f t="shared" si="14"/>
        <v>405</v>
      </c>
      <c r="AK53" s="84">
        <v>5</v>
      </c>
      <c r="AL53" s="118">
        <f t="shared" si="13"/>
        <v>405</v>
      </c>
    </row>
    <row r="54" spans="1:38" x14ac:dyDescent="0.3">
      <c r="A54" s="7" t="s">
        <v>182</v>
      </c>
      <c r="B54" s="8" t="s">
        <v>117</v>
      </c>
      <c r="C54" s="8" t="s">
        <v>135</v>
      </c>
      <c r="D54" s="6" t="s">
        <v>181</v>
      </c>
      <c r="E54" s="153">
        <v>81</v>
      </c>
      <c r="F54" s="26"/>
      <c r="G54" s="32"/>
      <c r="H54" s="51"/>
      <c r="I54" s="32"/>
      <c r="J54" s="48"/>
      <c r="K54" s="29"/>
      <c r="L54" s="48"/>
      <c r="M54" s="29"/>
      <c r="N54" s="48"/>
      <c r="O54" s="29"/>
      <c r="P54" s="48"/>
      <c r="Q54" s="32">
        <v>2</v>
      </c>
      <c r="R54" s="48">
        <f>+Q54*E54</f>
        <v>162</v>
      </c>
      <c r="S54" s="29">
        <v>3</v>
      </c>
      <c r="T54" s="48">
        <f t="shared" si="7"/>
        <v>243</v>
      </c>
      <c r="U54" s="92">
        <v>12</v>
      </c>
      <c r="V54" s="48">
        <f t="shared" si="8"/>
        <v>972</v>
      </c>
      <c r="W54" s="29">
        <v>13</v>
      </c>
      <c r="X54" s="48">
        <v>1053</v>
      </c>
      <c r="Y54" s="98">
        <v>5</v>
      </c>
      <c r="Z54" s="48">
        <f t="shared" si="37"/>
        <v>405</v>
      </c>
      <c r="AA54" s="98">
        <v>23</v>
      </c>
      <c r="AB54" s="48">
        <f t="shared" si="10"/>
        <v>1863</v>
      </c>
      <c r="AC54" s="98">
        <v>24</v>
      </c>
      <c r="AD54" s="48">
        <f>+AC54*[1]Dublin!E55</f>
        <v>1944</v>
      </c>
      <c r="AE54" s="81">
        <v>18</v>
      </c>
      <c r="AF54" s="127">
        <f t="shared" si="3"/>
        <v>1458</v>
      </c>
      <c r="AG54" s="81">
        <v>17</v>
      </c>
      <c r="AH54" s="127">
        <f t="shared" si="11"/>
        <v>1377</v>
      </c>
      <c r="AI54" s="81">
        <v>17</v>
      </c>
      <c r="AJ54" s="127">
        <f t="shared" si="14"/>
        <v>1377</v>
      </c>
      <c r="AK54" s="84">
        <v>16</v>
      </c>
      <c r="AL54" s="118">
        <f t="shared" si="13"/>
        <v>1296</v>
      </c>
    </row>
    <row r="55" spans="1:38" x14ac:dyDescent="0.3">
      <c r="A55" s="7" t="s">
        <v>116</v>
      </c>
      <c r="B55" s="8" t="s">
        <v>15</v>
      </c>
      <c r="C55" s="8" t="s">
        <v>13</v>
      </c>
      <c r="D55" s="6" t="s">
        <v>30</v>
      </c>
      <c r="E55" s="100">
        <v>137.11000000000001</v>
      </c>
      <c r="F55" s="28"/>
      <c r="G55" s="32">
        <v>2</v>
      </c>
      <c r="H55" s="51">
        <f t="shared" ref="H55:H84" si="38">+G55*E55</f>
        <v>274.22000000000003</v>
      </c>
      <c r="I55" s="32">
        <v>2</v>
      </c>
      <c r="J55" s="48">
        <f t="shared" si="1"/>
        <v>274.22000000000003</v>
      </c>
      <c r="K55" s="29">
        <v>1</v>
      </c>
      <c r="L55" s="48">
        <f t="shared" si="2"/>
        <v>137.11000000000001</v>
      </c>
      <c r="M55" s="29">
        <v>1</v>
      </c>
      <c r="N55" s="48">
        <f t="shared" si="4"/>
        <v>137.11000000000001</v>
      </c>
      <c r="O55" s="29">
        <v>1</v>
      </c>
      <c r="P55" s="48">
        <f t="shared" si="5"/>
        <v>137.11000000000001</v>
      </c>
      <c r="Q55" s="74">
        <v>1</v>
      </c>
      <c r="R55" s="48">
        <f t="shared" si="6"/>
        <v>137.11000000000001</v>
      </c>
      <c r="S55" s="29">
        <v>1</v>
      </c>
      <c r="T55" s="48">
        <f t="shared" si="7"/>
        <v>137.11000000000001</v>
      </c>
      <c r="U55" s="92">
        <v>1</v>
      </c>
      <c r="V55" s="48">
        <f t="shared" si="8"/>
        <v>137.11000000000001</v>
      </c>
      <c r="W55" s="29">
        <v>1</v>
      </c>
      <c r="X55" s="48">
        <v>137.11000000000001</v>
      </c>
      <c r="Y55" s="98"/>
      <c r="Z55" s="48">
        <f t="shared" si="37"/>
        <v>0</v>
      </c>
      <c r="AA55" s="98"/>
      <c r="AB55" s="48">
        <f t="shared" si="10"/>
        <v>0</v>
      </c>
      <c r="AC55" s="98"/>
      <c r="AD55" s="48">
        <f>+AC55*[1]Dublin!E56</f>
        <v>0</v>
      </c>
      <c r="AE55" s="81"/>
      <c r="AF55" s="127">
        <f t="shared" si="3"/>
        <v>0</v>
      </c>
      <c r="AG55" s="81">
        <v>2</v>
      </c>
      <c r="AH55" s="127">
        <f t="shared" si="11"/>
        <v>274.22000000000003</v>
      </c>
      <c r="AI55" s="81">
        <v>2</v>
      </c>
      <c r="AJ55" s="127">
        <f t="shared" si="14"/>
        <v>274.22000000000003</v>
      </c>
      <c r="AK55" s="84"/>
      <c r="AL55" s="118"/>
    </row>
    <row r="56" spans="1:38" x14ac:dyDescent="0.3">
      <c r="A56" s="7" t="s">
        <v>133</v>
      </c>
      <c r="B56" s="8" t="s">
        <v>15</v>
      </c>
      <c r="C56" s="8" t="s">
        <v>13</v>
      </c>
      <c r="D56" s="6" t="s">
        <v>20</v>
      </c>
      <c r="E56" s="100">
        <v>135</v>
      </c>
      <c r="F56" s="28"/>
      <c r="G56" s="32">
        <v>2.5</v>
      </c>
      <c r="H56" s="51">
        <f t="shared" si="38"/>
        <v>337.5</v>
      </c>
      <c r="I56" s="32">
        <v>2.5</v>
      </c>
      <c r="J56" s="48">
        <f t="shared" ref="J56:J84" si="39">+I56*E56</f>
        <v>337.5</v>
      </c>
      <c r="K56" s="29">
        <v>2.5</v>
      </c>
      <c r="L56" s="48">
        <f t="shared" ref="L56:L84" si="40">+K56*E56</f>
        <v>337.5</v>
      </c>
      <c r="M56" s="29">
        <v>2.5</v>
      </c>
      <c r="N56" s="48">
        <f t="shared" si="4"/>
        <v>337.5</v>
      </c>
      <c r="O56" s="29">
        <v>2.5</v>
      </c>
      <c r="P56" s="48">
        <f t="shared" si="5"/>
        <v>337.5</v>
      </c>
      <c r="Q56" s="74">
        <v>2</v>
      </c>
      <c r="R56" s="48">
        <f t="shared" si="6"/>
        <v>270</v>
      </c>
      <c r="S56" s="29">
        <v>2</v>
      </c>
      <c r="T56" s="48">
        <f t="shared" si="7"/>
        <v>270</v>
      </c>
      <c r="U56" s="92">
        <v>2</v>
      </c>
      <c r="V56" s="48">
        <f t="shared" si="8"/>
        <v>270</v>
      </c>
      <c r="W56" s="29">
        <v>2</v>
      </c>
      <c r="X56" s="48">
        <v>270</v>
      </c>
      <c r="Y56" s="98">
        <v>1</v>
      </c>
      <c r="Z56" s="48">
        <f t="shared" si="37"/>
        <v>135</v>
      </c>
      <c r="AA56" s="98"/>
      <c r="AB56" s="48">
        <f t="shared" si="10"/>
        <v>0</v>
      </c>
      <c r="AC56" s="98"/>
      <c r="AD56" s="48">
        <f>+AC56*[1]Dublin!E57</f>
        <v>0</v>
      </c>
      <c r="AE56" s="81"/>
      <c r="AF56" s="127">
        <f t="shared" si="3"/>
        <v>0</v>
      </c>
      <c r="AG56" s="81"/>
      <c r="AH56" s="127">
        <f t="shared" si="11"/>
        <v>0</v>
      </c>
      <c r="AI56" s="81"/>
      <c r="AJ56" s="127">
        <f t="shared" si="14"/>
        <v>0</v>
      </c>
      <c r="AK56" s="84"/>
      <c r="AL56" s="118"/>
    </row>
    <row r="57" spans="1:38" x14ac:dyDescent="0.3">
      <c r="A57" s="7" t="s">
        <v>195</v>
      </c>
      <c r="B57" s="8" t="s">
        <v>15</v>
      </c>
      <c r="C57" s="8" t="s">
        <v>13</v>
      </c>
      <c r="D57" s="6" t="s">
        <v>18</v>
      </c>
      <c r="E57" s="100">
        <v>138.51</v>
      </c>
      <c r="F57" s="28"/>
      <c r="G57" s="32">
        <v>1</v>
      </c>
      <c r="H57" s="51">
        <f t="shared" si="38"/>
        <v>138.51</v>
      </c>
      <c r="I57" s="32">
        <v>1</v>
      </c>
      <c r="J57" s="48">
        <f t="shared" si="39"/>
        <v>138.51</v>
      </c>
      <c r="K57" s="29">
        <v>1</v>
      </c>
      <c r="L57" s="48">
        <f t="shared" si="40"/>
        <v>138.51</v>
      </c>
      <c r="M57" s="29">
        <v>1</v>
      </c>
      <c r="N57" s="48">
        <f t="shared" si="4"/>
        <v>138.51</v>
      </c>
      <c r="O57" s="29">
        <v>1</v>
      </c>
      <c r="P57" s="48">
        <f t="shared" si="5"/>
        <v>138.51</v>
      </c>
      <c r="Q57" s="74">
        <v>1</v>
      </c>
      <c r="R57" s="48">
        <f t="shared" si="6"/>
        <v>138.51</v>
      </c>
      <c r="S57" s="29">
        <v>1</v>
      </c>
      <c r="T57" s="48">
        <f t="shared" si="7"/>
        <v>138.51</v>
      </c>
      <c r="U57" s="92"/>
      <c r="V57" s="48">
        <f t="shared" si="8"/>
        <v>0</v>
      </c>
      <c r="W57" s="29">
        <v>3</v>
      </c>
      <c r="X57" s="48">
        <v>415.53</v>
      </c>
      <c r="Y57" s="98">
        <v>3</v>
      </c>
      <c r="Z57" s="48">
        <f t="shared" si="37"/>
        <v>415.53</v>
      </c>
      <c r="AA57" s="98">
        <v>3</v>
      </c>
      <c r="AB57" s="48">
        <f t="shared" si="10"/>
        <v>415.53</v>
      </c>
      <c r="AC57" s="98"/>
      <c r="AD57" s="48">
        <f>+AC57*[1]Dublin!E58</f>
        <v>0</v>
      </c>
      <c r="AE57" s="81"/>
      <c r="AF57" s="127">
        <f t="shared" si="3"/>
        <v>0</v>
      </c>
      <c r="AG57" s="81"/>
      <c r="AH57" s="127">
        <f t="shared" si="11"/>
        <v>0</v>
      </c>
      <c r="AI57" s="81">
        <v>3</v>
      </c>
      <c r="AJ57" s="127">
        <f t="shared" si="14"/>
        <v>415.53</v>
      </c>
      <c r="AK57" s="84"/>
      <c r="AL57" s="118"/>
    </row>
    <row r="58" spans="1:38" x14ac:dyDescent="0.3">
      <c r="A58" s="7" t="s">
        <v>107</v>
      </c>
      <c r="B58" s="8" t="s">
        <v>15</v>
      </c>
      <c r="C58" s="8" t="s">
        <v>13</v>
      </c>
      <c r="D58" s="6" t="s">
        <v>18</v>
      </c>
      <c r="E58" s="100">
        <v>138.51</v>
      </c>
      <c r="F58" s="28"/>
      <c r="G58" s="32">
        <v>0.5</v>
      </c>
      <c r="H58" s="51">
        <f t="shared" si="38"/>
        <v>69.254999999999995</v>
      </c>
      <c r="I58" s="32">
        <v>0.5</v>
      </c>
      <c r="J58" s="48">
        <f t="shared" si="39"/>
        <v>69.254999999999995</v>
      </c>
      <c r="K58" s="29">
        <v>0.5</v>
      </c>
      <c r="L58" s="48">
        <f t="shared" si="40"/>
        <v>69.254999999999995</v>
      </c>
      <c r="M58" s="29">
        <v>0.5</v>
      </c>
      <c r="N58" s="48">
        <f t="shared" si="4"/>
        <v>69.254999999999995</v>
      </c>
      <c r="O58" s="29">
        <v>0.5</v>
      </c>
      <c r="P58" s="48">
        <f t="shared" si="5"/>
        <v>69.254999999999995</v>
      </c>
      <c r="Q58" s="32">
        <v>0.5</v>
      </c>
      <c r="R58" s="48">
        <f t="shared" si="6"/>
        <v>69.254999999999995</v>
      </c>
      <c r="S58" s="29">
        <v>0.5</v>
      </c>
      <c r="T58" s="48">
        <f t="shared" si="7"/>
        <v>69.254999999999995</v>
      </c>
      <c r="U58" s="92"/>
      <c r="V58" s="48">
        <f t="shared" si="8"/>
        <v>0</v>
      </c>
      <c r="W58" s="29">
        <v>0.5</v>
      </c>
      <c r="X58" s="48">
        <v>69.254999999999995</v>
      </c>
      <c r="Y58" s="98"/>
      <c r="Z58" s="48">
        <f t="shared" si="37"/>
        <v>0</v>
      </c>
      <c r="AA58" s="98"/>
      <c r="AB58" s="48">
        <f t="shared" si="10"/>
        <v>0</v>
      </c>
      <c r="AC58" s="98"/>
      <c r="AD58" s="48">
        <f>+AC58*[1]Dublin!E59</f>
        <v>0</v>
      </c>
      <c r="AE58" s="81"/>
      <c r="AF58" s="127">
        <f t="shared" si="3"/>
        <v>0</v>
      </c>
      <c r="AG58" s="81"/>
      <c r="AH58" s="127">
        <f t="shared" si="11"/>
        <v>0</v>
      </c>
      <c r="AI58" s="81"/>
      <c r="AJ58" s="127">
        <f t="shared" si="14"/>
        <v>0</v>
      </c>
      <c r="AK58" s="84"/>
      <c r="AL58" s="118"/>
    </row>
    <row r="59" spans="1:38" x14ac:dyDescent="0.3">
      <c r="A59" s="7" t="s">
        <v>17</v>
      </c>
      <c r="B59" s="8" t="s">
        <v>15</v>
      </c>
      <c r="C59" s="8" t="s">
        <v>13</v>
      </c>
      <c r="D59" s="6" t="s">
        <v>18</v>
      </c>
      <c r="E59" s="100">
        <v>139.9</v>
      </c>
      <c r="F59" s="28"/>
      <c r="G59" s="32">
        <v>3.5</v>
      </c>
      <c r="H59" s="51">
        <f t="shared" si="38"/>
        <v>489.65000000000003</v>
      </c>
      <c r="I59" s="32">
        <v>3.5</v>
      </c>
      <c r="J59" s="48">
        <f t="shared" si="39"/>
        <v>489.65000000000003</v>
      </c>
      <c r="K59" s="29">
        <v>3.5</v>
      </c>
      <c r="L59" s="48">
        <f t="shared" si="40"/>
        <v>489.65000000000003</v>
      </c>
      <c r="M59" s="29">
        <v>3.5</v>
      </c>
      <c r="N59" s="48">
        <f t="shared" si="4"/>
        <v>489.65000000000003</v>
      </c>
      <c r="O59" s="29">
        <v>3.5</v>
      </c>
      <c r="P59" s="48">
        <f t="shared" si="5"/>
        <v>489.65000000000003</v>
      </c>
      <c r="Q59" s="32">
        <v>2</v>
      </c>
      <c r="R59" s="48">
        <f t="shared" si="6"/>
        <v>279.8</v>
      </c>
      <c r="S59" s="29">
        <v>1</v>
      </c>
      <c r="T59" s="48">
        <f t="shared" si="7"/>
        <v>139.9</v>
      </c>
      <c r="U59" s="92"/>
      <c r="V59" s="48">
        <f t="shared" si="8"/>
        <v>0</v>
      </c>
      <c r="W59" s="29">
        <v>2</v>
      </c>
      <c r="X59" s="48">
        <v>279.8</v>
      </c>
      <c r="Y59" s="98">
        <v>2</v>
      </c>
      <c r="Z59" s="48">
        <f t="shared" si="37"/>
        <v>279.8</v>
      </c>
      <c r="AA59" s="98"/>
      <c r="AB59" s="48">
        <f t="shared" si="10"/>
        <v>0</v>
      </c>
      <c r="AC59" s="98"/>
      <c r="AD59" s="48">
        <f>+AC59*[1]Dublin!E60</f>
        <v>0</v>
      </c>
      <c r="AE59" s="81"/>
      <c r="AF59" s="127">
        <f t="shared" si="3"/>
        <v>0</v>
      </c>
      <c r="AG59" s="81"/>
      <c r="AH59" s="127">
        <f t="shared" si="11"/>
        <v>0</v>
      </c>
      <c r="AI59" s="81"/>
      <c r="AJ59" s="127">
        <f t="shared" si="14"/>
        <v>0</v>
      </c>
      <c r="AK59" s="84">
        <v>4</v>
      </c>
      <c r="AL59" s="118">
        <f t="shared" si="13"/>
        <v>559.6</v>
      </c>
    </row>
    <row r="60" spans="1:38" x14ac:dyDescent="0.3">
      <c r="A60" s="128" t="s">
        <v>140</v>
      </c>
      <c r="B60" s="8" t="s">
        <v>15</v>
      </c>
      <c r="C60" s="8" t="s">
        <v>13</v>
      </c>
      <c r="D60" s="6" t="s">
        <v>20</v>
      </c>
      <c r="E60" s="156">
        <v>121.33</v>
      </c>
      <c r="F60" s="28"/>
      <c r="G60" s="32">
        <v>5.5</v>
      </c>
      <c r="H60" s="51">
        <f t="shared" si="38"/>
        <v>667.31499999999994</v>
      </c>
      <c r="I60" s="32">
        <v>5.5</v>
      </c>
      <c r="J60" s="48">
        <f t="shared" si="39"/>
        <v>667.31499999999994</v>
      </c>
      <c r="K60" s="29">
        <v>10</v>
      </c>
      <c r="L60" s="48">
        <f t="shared" si="40"/>
        <v>1213.3</v>
      </c>
      <c r="M60" s="29">
        <v>14</v>
      </c>
      <c r="N60" s="48">
        <f t="shared" si="4"/>
        <v>1698.62</v>
      </c>
      <c r="O60" s="29">
        <v>9</v>
      </c>
      <c r="P60" s="48">
        <f t="shared" si="5"/>
        <v>1091.97</v>
      </c>
      <c r="Q60" s="32">
        <v>5</v>
      </c>
      <c r="R60" s="48">
        <f t="shared" si="6"/>
        <v>606.65</v>
      </c>
      <c r="S60" s="29">
        <v>5</v>
      </c>
      <c r="T60" s="48">
        <f t="shared" si="7"/>
        <v>606.65</v>
      </c>
      <c r="U60" s="92">
        <v>6</v>
      </c>
      <c r="V60" s="48">
        <f t="shared" si="8"/>
        <v>727.98</v>
      </c>
      <c r="W60" s="29">
        <v>8</v>
      </c>
      <c r="X60" s="48">
        <v>920</v>
      </c>
      <c r="Y60" s="98">
        <f>1+1+1+1+4</f>
        <v>8</v>
      </c>
      <c r="Z60" s="48">
        <f t="shared" si="37"/>
        <v>970.64</v>
      </c>
      <c r="AA60" s="98">
        <v>8</v>
      </c>
      <c r="AB60" s="48">
        <f t="shared" si="10"/>
        <v>970.64</v>
      </c>
      <c r="AC60" s="98">
        <v>5</v>
      </c>
      <c r="AD60" s="48">
        <f>+AC60*[1]Dublin!E61</f>
        <v>575</v>
      </c>
      <c r="AE60" s="81">
        <v>8</v>
      </c>
      <c r="AF60" s="127">
        <f t="shared" si="3"/>
        <v>970.64</v>
      </c>
      <c r="AG60" s="81">
        <v>2</v>
      </c>
      <c r="AH60" s="127">
        <f t="shared" si="11"/>
        <v>242.66</v>
      </c>
      <c r="AI60" s="81">
        <v>7</v>
      </c>
      <c r="AJ60" s="127">
        <f t="shared" si="14"/>
        <v>849.31</v>
      </c>
      <c r="AK60" s="84">
        <v>11</v>
      </c>
      <c r="AL60" s="118">
        <f t="shared" si="13"/>
        <v>1334.6299999999999</v>
      </c>
    </row>
    <row r="61" spans="1:38" x14ac:dyDescent="0.3">
      <c r="A61" s="128" t="s">
        <v>150</v>
      </c>
      <c r="B61" s="8" t="s">
        <v>15</v>
      </c>
      <c r="C61" s="8" t="s">
        <v>13</v>
      </c>
      <c r="D61" s="6" t="s">
        <v>20</v>
      </c>
      <c r="E61" s="100">
        <v>139.9</v>
      </c>
      <c r="F61" s="28"/>
      <c r="G61" s="32">
        <v>3</v>
      </c>
      <c r="H61" s="51">
        <f t="shared" si="38"/>
        <v>419.70000000000005</v>
      </c>
      <c r="I61" s="32">
        <v>3</v>
      </c>
      <c r="J61" s="48">
        <f t="shared" si="39"/>
        <v>419.70000000000005</v>
      </c>
      <c r="K61" s="29">
        <v>3</v>
      </c>
      <c r="L61" s="48">
        <f t="shared" si="40"/>
        <v>419.70000000000005</v>
      </c>
      <c r="M61" s="29">
        <v>3</v>
      </c>
      <c r="N61" s="48">
        <f t="shared" si="4"/>
        <v>419.70000000000005</v>
      </c>
      <c r="O61" s="29">
        <v>2</v>
      </c>
      <c r="P61" s="48">
        <f t="shared" si="5"/>
        <v>279.8</v>
      </c>
      <c r="Q61" s="32">
        <v>3</v>
      </c>
      <c r="R61" s="48">
        <f t="shared" si="6"/>
        <v>419.70000000000005</v>
      </c>
      <c r="S61" s="29">
        <v>3</v>
      </c>
      <c r="T61" s="48">
        <f t="shared" si="7"/>
        <v>419.70000000000005</v>
      </c>
      <c r="U61" s="92">
        <v>3</v>
      </c>
      <c r="V61" s="48">
        <f t="shared" si="8"/>
        <v>419.70000000000005</v>
      </c>
      <c r="W61" s="29">
        <v>3</v>
      </c>
      <c r="X61" s="48">
        <v>419.70000000000005</v>
      </c>
      <c r="Y61" s="98">
        <v>3</v>
      </c>
      <c r="Z61" s="48">
        <f t="shared" si="37"/>
        <v>419.70000000000005</v>
      </c>
      <c r="AA61" s="98"/>
      <c r="AB61" s="48">
        <f t="shared" si="10"/>
        <v>0</v>
      </c>
      <c r="AC61" s="98"/>
      <c r="AD61" s="48">
        <f>+AC61*[1]Dublin!E62</f>
        <v>0</v>
      </c>
      <c r="AE61" s="81"/>
      <c r="AF61" s="127">
        <f t="shared" si="3"/>
        <v>0</v>
      </c>
      <c r="AG61" s="81"/>
      <c r="AH61" s="127">
        <f t="shared" si="11"/>
        <v>0</v>
      </c>
      <c r="AI61" s="81"/>
      <c r="AJ61" s="127">
        <f t="shared" si="14"/>
        <v>0</v>
      </c>
      <c r="AK61" s="84"/>
      <c r="AL61" s="118"/>
    </row>
    <row r="62" spans="1:38" x14ac:dyDescent="0.3">
      <c r="A62" s="128" t="s">
        <v>210</v>
      </c>
      <c r="B62" s="8" t="s">
        <v>15</v>
      </c>
      <c r="C62" s="8" t="s">
        <v>13</v>
      </c>
      <c r="D62" s="6" t="s">
        <v>211</v>
      </c>
      <c r="E62" s="100"/>
      <c r="F62" s="28"/>
      <c r="G62" s="32"/>
      <c r="H62" s="51"/>
      <c r="I62" s="32"/>
      <c r="J62" s="48"/>
      <c r="K62" s="29"/>
      <c r="L62" s="48"/>
      <c r="M62" s="29"/>
      <c r="N62" s="48"/>
      <c r="O62" s="29"/>
      <c r="P62" s="48"/>
      <c r="Q62" s="32"/>
      <c r="R62" s="48"/>
      <c r="S62" s="29"/>
      <c r="T62" s="48"/>
      <c r="U62" s="92"/>
      <c r="V62" s="48"/>
      <c r="W62" s="29"/>
      <c r="X62" s="48"/>
      <c r="Y62" s="98"/>
      <c r="Z62" s="48"/>
      <c r="AA62" s="98">
        <v>3</v>
      </c>
      <c r="AB62" s="48"/>
      <c r="AC62" s="98">
        <v>3</v>
      </c>
      <c r="AD62" s="48">
        <f>+AC62*[1]Dublin!E63</f>
        <v>0</v>
      </c>
      <c r="AE62" s="81">
        <v>3</v>
      </c>
      <c r="AF62" s="127">
        <f t="shared" si="3"/>
        <v>0</v>
      </c>
      <c r="AG62" s="81">
        <v>3</v>
      </c>
      <c r="AH62" s="127">
        <f t="shared" si="11"/>
        <v>0</v>
      </c>
      <c r="AI62" s="81">
        <v>3</v>
      </c>
      <c r="AJ62" s="127">
        <f t="shared" si="14"/>
        <v>0</v>
      </c>
      <c r="AK62" s="84">
        <v>2</v>
      </c>
      <c r="AL62" s="118"/>
    </row>
    <row r="63" spans="1:38" x14ac:dyDescent="0.3">
      <c r="A63" s="128" t="s">
        <v>213</v>
      </c>
      <c r="B63" s="8" t="s">
        <v>15</v>
      </c>
      <c r="C63" s="8" t="s">
        <v>13</v>
      </c>
      <c r="D63" s="6" t="s">
        <v>212</v>
      </c>
      <c r="E63" s="100"/>
      <c r="F63" s="28"/>
      <c r="G63" s="32"/>
      <c r="H63" s="51"/>
      <c r="I63" s="32"/>
      <c r="J63" s="48"/>
      <c r="K63" s="29"/>
      <c r="L63" s="48"/>
      <c r="M63" s="29"/>
      <c r="N63" s="48"/>
      <c r="O63" s="29"/>
      <c r="P63" s="48"/>
      <c r="Q63" s="32"/>
      <c r="R63" s="48"/>
      <c r="S63" s="29"/>
      <c r="T63" s="48"/>
      <c r="U63" s="92"/>
      <c r="V63" s="48"/>
      <c r="W63" s="29"/>
      <c r="X63" s="48"/>
      <c r="Y63" s="98"/>
      <c r="Z63" s="48"/>
      <c r="AA63" s="98">
        <v>1</v>
      </c>
      <c r="AB63" s="48"/>
      <c r="AC63" s="98"/>
      <c r="AD63" s="48">
        <f>+AC63*[1]Dublin!E64</f>
        <v>0</v>
      </c>
      <c r="AE63" s="81"/>
      <c r="AF63" s="127">
        <f t="shared" si="3"/>
        <v>0</v>
      </c>
      <c r="AG63" s="81"/>
      <c r="AH63" s="127">
        <f t="shared" si="11"/>
        <v>0</v>
      </c>
      <c r="AI63" s="81"/>
      <c r="AJ63" s="127">
        <f t="shared" si="14"/>
        <v>0</v>
      </c>
      <c r="AK63" s="84"/>
      <c r="AL63" s="118">
        <f t="shared" si="13"/>
        <v>0</v>
      </c>
    </row>
    <row r="64" spans="1:38" x14ac:dyDescent="0.3">
      <c r="A64" s="7" t="s">
        <v>203</v>
      </c>
      <c r="B64" s="8" t="s">
        <v>15</v>
      </c>
      <c r="C64" s="8" t="s">
        <v>13</v>
      </c>
      <c r="D64" s="6" t="s">
        <v>18</v>
      </c>
      <c r="E64" s="100">
        <v>163.16</v>
      </c>
      <c r="F64" s="28"/>
      <c r="G64" s="32"/>
      <c r="H64" s="51"/>
      <c r="I64" s="32"/>
      <c r="J64" s="48"/>
      <c r="K64" s="29"/>
      <c r="L64" s="48"/>
      <c r="M64" s="29"/>
      <c r="N64" s="48"/>
      <c r="O64" s="32"/>
      <c r="P64" s="48"/>
      <c r="Q64" s="32"/>
      <c r="R64" s="48"/>
      <c r="S64" s="29"/>
      <c r="T64" s="48"/>
      <c r="U64" s="92"/>
      <c r="V64" s="48"/>
      <c r="W64" s="29"/>
      <c r="X64" s="48"/>
      <c r="Y64" s="98">
        <v>30</v>
      </c>
      <c r="Z64" s="48">
        <f>+Y64*E64</f>
        <v>4894.8</v>
      </c>
      <c r="AA64" s="98">
        <v>15</v>
      </c>
      <c r="AB64" s="48">
        <f>+AA64*E64</f>
        <v>2447.4</v>
      </c>
      <c r="AC64" s="98">
        <v>10</v>
      </c>
      <c r="AD64" s="48">
        <f>+AC64*[1]Dublin!E65</f>
        <v>1631.6</v>
      </c>
      <c r="AE64" s="81">
        <v>12</v>
      </c>
      <c r="AF64" s="127">
        <f t="shared" si="3"/>
        <v>1957.92</v>
      </c>
      <c r="AG64" s="81">
        <v>12</v>
      </c>
      <c r="AH64" s="127">
        <f t="shared" si="11"/>
        <v>1957.92</v>
      </c>
      <c r="AI64" s="81">
        <v>11</v>
      </c>
      <c r="AJ64" s="127">
        <f t="shared" si="14"/>
        <v>1794.76</v>
      </c>
      <c r="AK64" s="84">
        <v>11</v>
      </c>
      <c r="AL64" s="118">
        <f t="shared" si="13"/>
        <v>1794.76</v>
      </c>
    </row>
    <row r="65" spans="1:38" x14ac:dyDescent="0.3">
      <c r="A65" s="128" t="s">
        <v>21</v>
      </c>
      <c r="B65" s="8" t="s">
        <v>15</v>
      </c>
      <c r="C65" s="8" t="s">
        <v>13</v>
      </c>
      <c r="D65" s="6" t="s">
        <v>18</v>
      </c>
      <c r="E65" s="100">
        <v>121.33</v>
      </c>
      <c r="F65" s="28"/>
      <c r="G65" s="29">
        <v>7</v>
      </c>
      <c r="H65" s="97">
        <f t="shared" si="38"/>
        <v>849.31</v>
      </c>
      <c r="I65" s="29">
        <v>8</v>
      </c>
      <c r="J65" s="91">
        <f t="shared" si="39"/>
        <v>970.64</v>
      </c>
      <c r="K65" s="29">
        <v>8</v>
      </c>
      <c r="L65" s="91">
        <f t="shared" si="40"/>
        <v>970.64</v>
      </c>
      <c r="M65" s="29">
        <v>5</v>
      </c>
      <c r="N65" s="91">
        <f t="shared" si="4"/>
        <v>606.65</v>
      </c>
      <c r="O65" s="29">
        <v>5</v>
      </c>
      <c r="P65" s="91">
        <f t="shared" si="5"/>
        <v>606.65</v>
      </c>
      <c r="Q65" s="29">
        <v>5</v>
      </c>
      <c r="R65" s="91">
        <f t="shared" si="6"/>
        <v>606.65</v>
      </c>
      <c r="S65" s="29">
        <v>5</v>
      </c>
      <c r="T65" s="91">
        <f t="shared" si="7"/>
        <v>606.65</v>
      </c>
      <c r="U65" s="92">
        <v>5</v>
      </c>
      <c r="V65" s="91">
        <f t="shared" si="8"/>
        <v>606.65</v>
      </c>
      <c r="W65" s="29">
        <v>3</v>
      </c>
      <c r="X65" s="91">
        <v>345</v>
      </c>
      <c r="Y65" s="98">
        <v>4</v>
      </c>
      <c r="Z65" s="91">
        <f t="shared" si="37"/>
        <v>485.32</v>
      </c>
      <c r="AA65" s="98">
        <v>3</v>
      </c>
      <c r="AB65" s="91">
        <f t="shared" si="10"/>
        <v>363.99</v>
      </c>
      <c r="AC65" s="98">
        <v>13</v>
      </c>
      <c r="AD65" s="91">
        <f>+AC65*[1]Dublin!E66</f>
        <v>1495</v>
      </c>
      <c r="AE65" s="81">
        <v>8</v>
      </c>
      <c r="AF65" s="127">
        <f t="shared" si="3"/>
        <v>970.64</v>
      </c>
      <c r="AG65" s="81">
        <v>4</v>
      </c>
      <c r="AH65" s="127">
        <f t="shared" si="11"/>
        <v>485.32</v>
      </c>
      <c r="AI65" s="81"/>
      <c r="AJ65" s="127">
        <f t="shared" si="14"/>
        <v>0</v>
      </c>
      <c r="AK65" s="84">
        <v>10</v>
      </c>
      <c r="AL65" s="118">
        <f t="shared" si="13"/>
        <v>1213.3</v>
      </c>
    </row>
    <row r="66" spans="1:38" x14ac:dyDescent="0.3">
      <c r="A66" s="128" t="s">
        <v>22</v>
      </c>
      <c r="B66" s="8" t="s">
        <v>15</v>
      </c>
      <c r="C66" s="8" t="s">
        <v>13</v>
      </c>
      <c r="D66" s="6" t="s">
        <v>18</v>
      </c>
      <c r="E66" s="100">
        <v>145.21</v>
      </c>
      <c r="F66" s="28"/>
      <c r="G66" s="29">
        <v>4</v>
      </c>
      <c r="H66" s="97">
        <f t="shared" si="38"/>
        <v>580.84</v>
      </c>
      <c r="I66" s="29">
        <v>4</v>
      </c>
      <c r="J66" s="91">
        <f t="shared" si="39"/>
        <v>580.84</v>
      </c>
      <c r="K66" s="29">
        <v>4</v>
      </c>
      <c r="L66" s="91">
        <f t="shared" si="40"/>
        <v>580.84</v>
      </c>
      <c r="M66" s="29">
        <v>4</v>
      </c>
      <c r="N66" s="91">
        <f t="shared" si="4"/>
        <v>580.84</v>
      </c>
      <c r="O66" s="29">
        <v>4</v>
      </c>
      <c r="P66" s="91">
        <f t="shared" si="5"/>
        <v>580.84</v>
      </c>
      <c r="Q66" s="29">
        <v>4</v>
      </c>
      <c r="R66" s="91">
        <f t="shared" si="6"/>
        <v>580.84</v>
      </c>
      <c r="S66" s="29">
        <v>3</v>
      </c>
      <c r="T66" s="91">
        <f t="shared" si="7"/>
        <v>435.63</v>
      </c>
      <c r="U66" s="92">
        <v>3</v>
      </c>
      <c r="V66" s="91">
        <f t="shared" si="8"/>
        <v>435.63</v>
      </c>
      <c r="W66" s="29">
        <v>3</v>
      </c>
      <c r="X66" s="91">
        <v>435.63</v>
      </c>
      <c r="Y66" s="98">
        <v>3</v>
      </c>
      <c r="Z66" s="91">
        <f t="shared" si="37"/>
        <v>435.63</v>
      </c>
      <c r="AA66" s="98">
        <v>3</v>
      </c>
      <c r="AB66" s="91">
        <f t="shared" si="10"/>
        <v>435.63</v>
      </c>
      <c r="AC66" s="98">
        <v>3</v>
      </c>
      <c r="AD66" s="91">
        <f>+AC66*[1]Dublin!E67</f>
        <v>435.63</v>
      </c>
      <c r="AE66" s="81">
        <v>3</v>
      </c>
      <c r="AF66" s="127">
        <f t="shared" si="3"/>
        <v>435.63</v>
      </c>
      <c r="AG66" s="81">
        <v>3</v>
      </c>
      <c r="AH66" s="127">
        <f t="shared" si="11"/>
        <v>435.63</v>
      </c>
      <c r="AI66" s="81"/>
      <c r="AJ66" s="127">
        <f t="shared" si="14"/>
        <v>0</v>
      </c>
      <c r="AK66" s="84"/>
      <c r="AL66" s="118"/>
    </row>
    <row r="67" spans="1:38" x14ac:dyDescent="0.3">
      <c r="A67" s="128" t="s">
        <v>88</v>
      </c>
      <c r="B67" s="8" t="s">
        <v>15</v>
      </c>
      <c r="C67" s="8" t="s">
        <v>13</v>
      </c>
      <c r="D67" s="6" t="s">
        <v>18</v>
      </c>
      <c r="E67" s="100">
        <v>145.21</v>
      </c>
      <c r="F67" s="28"/>
      <c r="G67" s="32">
        <v>0</v>
      </c>
      <c r="H67" s="51">
        <f t="shared" si="38"/>
        <v>0</v>
      </c>
      <c r="I67" s="32"/>
      <c r="J67" s="48">
        <f t="shared" si="39"/>
        <v>0</v>
      </c>
      <c r="K67" s="29">
        <v>0</v>
      </c>
      <c r="L67" s="48">
        <f t="shared" si="40"/>
        <v>0</v>
      </c>
      <c r="M67" s="29">
        <v>0</v>
      </c>
      <c r="N67" s="48">
        <f t="shared" si="4"/>
        <v>0</v>
      </c>
      <c r="O67" s="29"/>
      <c r="P67" s="48">
        <f t="shared" si="5"/>
        <v>0</v>
      </c>
      <c r="Q67" s="32"/>
      <c r="R67" s="48">
        <f t="shared" si="6"/>
        <v>0</v>
      </c>
      <c r="S67" s="29">
        <v>0</v>
      </c>
      <c r="T67" s="48">
        <f t="shared" si="7"/>
        <v>0</v>
      </c>
      <c r="U67" s="92"/>
      <c r="V67" s="48">
        <f t="shared" si="8"/>
        <v>0</v>
      </c>
      <c r="W67" s="29">
        <v>0</v>
      </c>
      <c r="X67" s="48">
        <v>0</v>
      </c>
      <c r="Y67" s="98"/>
      <c r="Z67" s="48">
        <f t="shared" si="37"/>
        <v>0</v>
      </c>
      <c r="AA67" s="98">
        <v>5</v>
      </c>
      <c r="AB67" s="48">
        <f t="shared" si="10"/>
        <v>726.05000000000007</v>
      </c>
      <c r="AC67" s="98">
        <v>7</v>
      </c>
      <c r="AD67" s="48">
        <f>+AC67*[1]Dublin!E68</f>
        <v>1016.47</v>
      </c>
      <c r="AE67" s="81">
        <v>6</v>
      </c>
      <c r="AF67" s="127">
        <f t="shared" si="3"/>
        <v>871.26</v>
      </c>
      <c r="AG67" s="81">
        <v>5</v>
      </c>
      <c r="AH67" s="127">
        <f t="shared" ref="AH67:AH84" si="41">AG67*E67</f>
        <v>726.05000000000007</v>
      </c>
      <c r="AI67" s="81">
        <v>2</v>
      </c>
      <c r="AJ67" s="127">
        <f t="shared" si="14"/>
        <v>290.42</v>
      </c>
      <c r="AK67" s="84">
        <v>4</v>
      </c>
      <c r="AL67" s="118">
        <f t="shared" si="13"/>
        <v>580.84</v>
      </c>
    </row>
    <row r="68" spans="1:38" x14ac:dyDescent="0.3">
      <c r="A68" s="128" t="s">
        <v>160</v>
      </c>
      <c r="B68" s="8" t="s">
        <v>15</v>
      </c>
      <c r="C68" s="8" t="s">
        <v>13</v>
      </c>
      <c r="D68" s="6" t="s">
        <v>128</v>
      </c>
      <c r="E68" s="100">
        <v>139.9</v>
      </c>
      <c r="F68" s="27"/>
      <c r="G68" s="32">
        <v>8</v>
      </c>
      <c r="H68" s="51">
        <f t="shared" si="38"/>
        <v>1119.2</v>
      </c>
      <c r="I68" s="32">
        <v>8</v>
      </c>
      <c r="J68" s="48">
        <f t="shared" si="39"/>
        <v>1119.2</v>
      </c>
      <c r="K68" s="29">
        <v>8</v>
      </c>
      <c r="L68" s="48">
        <f t="shared" si="40"/>
        <v>1119.2</v>
      </c>
      <c r="M68" s="29">
        <v>8</v>
      </c>
      <c r="N68" s="48">
        <f t="shared" si="4"/>
        <v>1119.2</v>
      </c>
      <c r="O68" s="29">
        <v>8</v>
      </c>
      <c r="P68" s="48">
        <f t="shared" si="5"/>
        <v>1119.2</v>
      </c>
      <c r="Q68" s="32">
        <v>8</v>
      </c>
      <c r="R68" s="48">
        <f t="shared" si="6"/>
        <v>1119.2</v>
      </c>
      <c r="S68" s="29">
        <v>8</v>
      </c>
      <c r="T68" s="48">
        <f t="shared" si="7"/>
        <v>1119.2</v>
      </c>
      <c r="U68" s="92">
        <v>8</v>
      </c>
      <c r="V68" s="48">
        <f t="shared" si="8"/>
        <v>1119.2</v>
      </c>
      <c r="W68" s="29">
        <v>8</v>
      </c>
      <c r="X68" s="48">
        <v>1119.2</v>
      </c>
      <c r="Y68" s="98">
        <v>9</v>
      </c>
      <c r="Z68" s="48">
        <f t="shared" si="37"/>
        <v>1259.1000000000001</v>
      </c>
      <c r="AA68" s="98">
        <v>7</v>
      </c>
      <c r="AB68" s="48">
        <f t="shared" si="10"/>
        <v>979.30000000000007</v>
      </c>
      <c r="AC68" s="98">
        <v>8</v>
      </c>
      <c r="AD68" s="48">
        <f>+AC68*[1]Dublin!E69</f>
        <v>1119.2</v>
      </c>
      <c r="AE68" s="81">
        <v>6</v>
      </c>
      <c r="AF68" s="127">
        <f t="shared" si="3"/>
        <v>839.40000000000009</v>
      </c>
      <c r="AG68" s="81">
        <v>6</v>
      </c>
      <c r="AH68" s="127">
        <f t="shared" si="41"/>
        <v>839.40000000000009</v>
      </c>
      <c r="AI68" s="81">
        <v>6</v>
      </c>
      <c r="AJ68" s="127">
        <f t="shared" si="14"/>
        <v>839.40000000000009</v>
      </c>
      <c r="AK68" s="84">
        <v>4</v>
      </c>
      <c r="AL68" s="118">
        <f t="shared" si="13"/>
        <v>559.6</v>
      </c>
    </row>
    <row r="69" spans="1:38" x14ac:dyDescent="0.3">
      <c r="A69" s="7" t="s">
        <v>60</v>
      </c>
      <c r="B69" s="8" t="s">
        <v>15</v>
      </c>
      <c r="C69" s="8" t="s">
        <v>13</v>
      </c>
      <c r="D69" s="6" t="s">
        <v>20</v>
      </c>
      <c r="E69" s="100">
        <v>165.92</v>
      </c>
      <c r="F69" s="28"/>
      <c r="G69" s="32">
        <v>4</v>
      </c>
      <c r="H69" s="51">
        <f t="shared" si="38"/>
        <v>663.68</v>
      </c>
      <c r="I69" s="32">
        <v>4</v>
      </c>
      <c r="J69" s="48">
        <f t="shared" si="39"/>
        <v>663.68</v>
      </c>
      <c r="K69" s="29">
        <v>4</v>
      </c>
      <c r="L69" s="48">
        <f t="shared" si="40"/>
        <v>663.68</v>
      </c>
      <c r="M69" s="29">
        <v>4</v>
      </c>
      <c r="N69" s="48">
        <f t="shared" si="4"/>
        <v>663.68</v>
      </c>
      <c r="O69" s="32"/>
      <c r="P69" s="48">
        <f t="shared" si="5"/>
        <v>0</v>
      </c>
      <c r="Q69" s="32">
        <v>4</v>
      </c>
      <c r="R69" s="48">
        <f t="shared" si="6"/>
        <v>663.68</v>
      </c>
      <c r="S69" s="29">
        <v>4</v>
      </c>
      <c r="T69" s="48">
        <f t="shared" si="7"/>
        <v>663.68</v>
      </c>
      <c r="U69" s="92">
        <v>4</v>
      </c>
      <c r="V69" s="48">
        <f t="shared" si="8"/>
        <v>663.68</v>
      </c>
      <c r="W69" s="29">
        <v>4</v>
      </c>
      <c r="X69" s="48">
        <v>663.68</v>
      </c>
      <c r="Y69" s="98">
        <v>4</v>
      </c>
      <c r="Z69" s="48">
        <f t="shared" si="37"/>
        <v>663.68</v>
      </c>
      <c r="AA69" s="98">
        <v>4</v>
      </c>
      <c r="AB69" s="48">
        <f t="shared" si="10"/>
        <v>663.68</v>
      </c>
      <c r="AC69" s="98">
        <v>6</v>
      </c>
      <c r="AD69" s="48">
        <f>+AC69*[1]Dublin!E70</f>
        <v>995.52</v>
      </c>
      <c r="AE69" s="81">
        <v>6</v>
      </c>
      <c r="AF69" s="127">
        <f t="shared" ref="AF69:AF84" si="42">AE69*E69</f>
        <v>995.52</v>
      </c>
      <c r="AG69" s="81">
        <v>6</v>
      </c>
      <c r="AH69" s="127">
        <f t="shared" si="41"/>
        <v>995.52</v>
      </c>
      <c r="AI69" s="81">
        <v>6</v>
      </c>
      <c r="AJ69" s="127">
        <f t="shared" si="14"/>
        <v>995.52</v>
      </c>
      <c r="AK69" s="84">
        <v>6</v>
      </c>
      <c r="AL69" s="118">
        <f t="shared" si="13"/>
        <v>995.52</v>
      </c>
    </row>
    <row r="70" spans="1:38" x14ac:dyDescent="0.3">
      <c r="A70" s="7" t="s">
        <v>25</v>
      </c>
      <c r="B70" s="8" t="s">
        <v>15</v>
      </c>
      <c r="C70" s="8" t="s">
        <v>13</v>
      </c>
      <c r="D70" s="6" t="s">
        <v>20</v>
      </c>
      <c r="E70" s="156">
        <v>180.43</v>
      </c>
      <c r="F70" s="28"/>
      <c r="G70" s="32">
        <v>9</v>
      </c>
      <c r="H70" s="51">
        <f t="shared" si="38"/>
        <v>1623.8700000000001</v>
      </c>
      <c r="I70" s="32">
        <v>7</v>
      </c>
      <c r="J70" s="48">
        <f t="shared" si="39"/>
        <v>1263.01</v>
      </c>
      <c r="K70" s="29">
        <v>7</v>
      </c>
      <c r="L70" s="48">
        <f t="shared" si="40"/>
        <v>1263.01</v>
      </c>
      <c r="M70" s="29">
        <v>7</v>
      </c>
      <c r="N70" s="48">
        <f t="shared" si="4"/>
        <v>1263.01</v>
      </c>
      <c r="O70" s="32">
        <v>5</v>
      </c>
      <c r="P70" s="48">
        <f t="shared" si="5"/>
        <v>902.15000000000009</v>
      </c>
      <c r="Q70" s="32">
        <v>5</v>
      </c>
      <c r="R70" s="48">
        <f t="shared" si="6"/>
        <v>902.15000000000009</v>
      </c>
      <c r="S70" s="29">
        <v>4</v>
      </c>
      <c r="T70" s="48">
        <f t="shared" si="7"/>
        <v>721.72</v>
      </c>
      <c r="U70" s="92">
        <v>3</v>
      </c>
      <c r="V70" s="48">
        <f t="shared" si="8"/>
        <v>541.29</v>
      </c>
      <c r="W70" s="29">
        <v>3</v>
      </c>
      <c r="X70" s="48">
        <v>482.18999999999994</v>
      </c>
      <c r="Y70" s="98">
        <v>3</v>
      </c>
      <c r="Z70" s="48">
        <f t="shared" si="37"/>
        <v>541.29</v>
      </c>
      <c r="AA70" s="98">
        <v>3</v>
      </c>
      <c r="AB70" s="48">
        <f t="shared" si="10"/>
        <v>541.29</v>
      </c>
      <c r="AC70" s="98">
        <v>3</v>
      </c>
      <c r="AD70" s="48">
        <f>+AC70*[1]Dublin!E71</f>
        <v>482.18999999999994</v>
      </c>
      <c r="AE70" s="81">
        <v>3</v>
      </c>
      <c r="AF70" s="127">
        <f t="shared" si="42"/>
        <v>541.29</v>
      </c>
      <c r="AG70" s="81">
        <v>3</v>
      </c>
      <c r="AH70" s="127">
        <f t="shared" si="41"/>
        <v>541.29</v>
      </c>
      <c r="AI70" s="81">
        <v>3</v>
      </c>
      <c r="AJ70" s="127">
        <f t="shared" ref="AJ70:AJ84" si="43">AI70*E70</f>
        <v>541.29</v>
      </c>
      <c r="AK70" s="84"/>
      <c r="AL70" s="118"/>
    </row>
    <row r="71" spans="1:38" x14ac:dyDescent="0.3">
      <c r="A71" s="7" t="s">
        <v>26</v>
      </c>
      <c r="B71" s="8" t="s">
        <v>15</v>
      </c>
      <c r="C71" s="8" t="s">
        <v>13</v>
      </c>
      <c r="D71" s="6" t="s">
        <v>18</v>
      </c>
      <c r="E71" s="100">
        <v>138.51</v>
      </c>
      <c r="F71" s="28"/>
      <c r="G71" s="32">
        <v>3.5</v>
      </c>
      <c r="H71" s="51">
        <f t="shared" si="38"/>
        <v>484.78499999999997</v>
      </c>
      <c r="I71" s="32">
        <v>3.5</v>
      </c>
      <c r="J71" s="48">
        <f t="shared" si="39"/>
        <v>484.78499999999997</v>
      </c>
      <c r="K71" s="29">
        <v>3.5</v>
      </c>
      <c r="L71" s="48">
        <f t="shared" si="40"/>
        <v>484.78499999999997</v>
      </c>
      <c r="M71" s="29">
        <v>3.5</v>
      </c>
      <c r="N71" s="48">
        <f t="shared" si="4"/>
        <v>484.78499999999997</v>
      </c>
      <c r="O71" s="32">
        <v>1</v>
      </c>
      <c r="P71" s="48">
        <f t="shared" si="5"/>
        <v>138.51</v>
      </c>
      <c r="Q71" s="32">
        <v>1</v>
      </c>
      <c r="R71" s="48">
        <f t="shared" si="6"/>
        <v>138.51</v>
      </c>
      <c r="S71" s="29">
        <v>1</v>
      </c>
      <c r="T71" s="48">
        <f t="shared" si="7"/>
        <v>138.51</v>
      </c>
      <c r="U71" s="92"/>
      <c r="V71" s="48">
        <f t="shared" si="8"/>
        <v>0</v>
      </c>
      <c r="W71" s="29">
        <v>1</v>
      </c>
      <c r="X71" s="48">
        <v>138.51</v>
      </c>
      <c r="Y71" s="98"/>
      <c r="Z71" s="48">
        <f t="shared" si="37"/>
        <v>0</v>
      </c>
      <c r="AA71" s="98"/>
      <c r="AB71" s="48">
        <f t="shared" si="10"/>
        <v>0</v>
      </c>
      <c r="AC71" s="98"/>
      <c r="AD71" s="48">
        <f>+AC71*[1]Dublin!E72</f>
        <v>0</v>
      </c>
      <c r="AE71" s="81"/>
      <c r="AF71" s="127">
        <f t="shared" si="42"/>
        <v>0</v>
      </c>
      <c r="AG71" s="81"/>
      <c r="AH71" s="127">
        <f t="shared" si="41"/>
        <v>0</v>
      </c>
      <c r="AI71" s="81"/>
      <c r="AJ71" s="127">
        <f t="shared" si="43"/>
        <v>0</v>
      </c>
      <c r="AK71" s="84"/>
      <c r="AL71" s="118"/>
    </row>
    <row r="72" spans="1:38" x14ac:dyDescent="0.3">
      <c r="A72" s="128" t="s">
        <v>148</v>
      </c>
      <c r="B72" s="8" t="s">
        <v>15</v>
      </c>
      <c r="C72" s="8" t="s">
        <v>13</v>
      </c>
      <c r="D72" s="6" t="s">
        <v>24</v>
      </c>
      <c r="E72" s="100">
        <v>155.55000000000001</v>
      </c>
      <c r="F72" s="28"/>
      <c r="G72" s="32">
        <v>0.5</v>
      </c>
      <c r="H72" s="51">
        <f t="shared" si="38"/>
        <v>77.775000000000006</v>
      </c>
      <c r="I72" s="32"/>
      <c r="J72" s="48">
        <f t="shared" si="39"/>
        <v>0</v>
      </c>
      <c r="K72" s="29">
        <v>0</v>
      </c>
      <c r="L72" s="48">
        <f t="shared" si="40"/>
        <v>0</v>
      </c>
      <c r="M72" s="29">
        <v>0</v>
      </c>
      <c r="N72" s="48">
        <f t="shared" si="4"/>
        <v>0</v>
      </c>
      <c r="O72" s="32"/>
      <c r="P72" s="48">
        <f t="shared" si="5"/>
        <v>0</v>
      </c>
      <c r="Q72" s="32">
        <v>1</v>
      </c>
      <c r="R72" s="48">
        <f t="shared" si="6"/>
        <v>155.55000000000001</v>
      </c>
      <c r="S72" s="29">
        <v>1</v>
      </c>
      <c r="T72" s="48">
        <f t="shared" si="7"/>
        <v>155.55000000000001</v>
      </c>
      <c r="U72" s="92"/>
      <c r="V72" s="48">
        <f t="shared" si="8"/>
        <v>0</v>
      </c>
      <c r="W72" s="29">
        <v>1</v>
      </c>
      <c r="X72" s="48">
        <v>155.55000000000001</v>
      </c>
      <c r="Y72" s="98">
        <v>1</v>
      </c>
      <c r="Z72" s="48">
        <f t="shared" si="37"/>
        <v>155.55000000000001</v>
      </c>
      <c r="AA72" s="98"/>
      <c r="AB72" s="91">
        <f t="shared" si="10"/>
        <v>0</v>
      </c>
      <c r="AC72" s="98">
        <v>3</v>
      </c>
      <c r="AD72" s="48">
        <f>+AC72*[1]Dublin!E73</f>
        <v>466.65000000000003</v>
      </c>
      <c r="AE72" s="81">
        <v>3</v>
      </c>
      <c r="AF72" s="127">
        <f t="shared" si="42"/>
        <v>466.65000000000003</v>
      </c>
      <c r="AG72" s="81">
        <f>3+4</f>
        <v>7</v>
      </c>
      <c r="AH72" s="127">
        <f t="shared" si="41"/>
        <v>1088.8500000000001</v>
      </c>
      <c r="AI72" s="81">
        <v>3</v>
      </c>
      <c r="AJ72" s="127">
        <f t="shared" si="43"/>
        <v>466.65000000000003</v>
      </c>
      <c r="AK72" s="84"/>
      <c r="AL72" s="118"/>
    </row>
    <row r="73" spans="1:38" x14ac:dyDescent="0.3">
      <c r="A73" s="7" t="s">
        <v>27</v>
      </c>
      <c r="B73" s="8" t="s">
        <v>15</v>
      </c>
      <c r="C73" s="8" t="s">
        <v>13</v>
      </c>
      <c r="D73" s="6" t="s">
        <v>20</v>
      </c>
      <c r="E73" s="156">
        <v>177.09</v>
      </c>
      <c r="F73" s="28"/>
      <c r="G73" s="32">
        <v>4</v>
      </c>
      <c r="H73" s="51">
        <f t="shared" si="38"/>
        <v>708.36</v>
      </c>
      <c r="I73" s="32">
        <v>9</v>
      </c>
      <c r="J73" s="48">
        <f t="shared" si="39"/>
        <v>1593.81</v>
      </c>
      <c r="K73" s="29">
        <v>8</v>
      </c>
      <c r="L73" s="48">
        <f t="shared" si="40"/>
        <v>1416.72</v>
      </c>
      <c r="M73" s="29">
        <v>11</v>
      </c>
      <c r="N73" s="48">
        <f t="shared" si="4"/>
        <v>1947.99</v>
      </c>
      <c r="O73" s="32">
        <v>9.5</v>
      </c>
      <c r="P73" s="48">
        <f t="shared" si="5"/>
        <v>1682.355</v>
      </c>
      <c r="Q73" s="32">
        <f>10+3</f>
        <v>13</v>
      </c>
      <c r="R73" s="48">
        <f t="shared" si="6"/>
        <v>2302.17</v>
      </c>
      <c r="S73" s="29">
        <v>8</v>
      </c>
      <c r="T73" s="48">
        <f t="shared" si="7"/>
        <v>1416.72</v>
      </c>
      <c r="U73" s="92">
        <v>10</v>
      </c>
      <c r="V73" s="48">
        <f t="shared" si="8"/>
        <v>1770.9</v>
      </c>
      <c r="W73" s="29">
        <v>6</v>
      </c>
      <c r="X73" s="48">
        <v>1052.76</v>
      </c>
      <c r="Y73" s="98">
        <f>1+3+2</f>
        <v>6</v>
      </c>
      <c r="Z73" s="48">
        <f t="shared" si="37"/>
        <v>1062.54</v>
      </c>
      <c r="AA73" s="98"/>
      <c r="AB73" s="91">
        <f t="shared" si="10"/>
        <v>0</v>
      </c>
      <c r="AC73" s="98">
        <v>6</v>
      </c>
      <c r="AD73" s="48">
        <f>+AC73*[1]Dublin!E74</f>
        <v>1052.76</v>
      </c>
      <c r="AE73" s="81">
        <v>16</v>
      </c>
      <c r="AF73" s="127">
        <f t="shared" si="42"/>
        <v>2833.44</v>
      </c>
      <c r="AG73" s="81">
        <f>13+1</f>
        <v>14</v>
      </c>
      <c r="AH73" s="127">
        <f t="shared" si="41"/>
        <v>2479.2600000000002</v>
      </c>
      <c r="AI73" s="81">
        <v>14</v>
      </c>
      <c r="AJ73" s="127">
        <f t="shared" si="43"/>
        <v>2479.2600000000002</v>
      </c>
      <c r="AK73" s="84">
        <v>12</v>
      </c>
      <c r="AL73" s="118">
        <f t="shared" ref="AL70:AL84" si="44">AK73*E73</f>
        <v>2125.08</v>
      </c>
    </row>
    <row r="74" spans="1:38" x14ac:dyDescent="0.3">
      <c r="A74" s="7" t="s">
        <v>28</v>
      </c>
      <c r="B74" s="8" t="s">
        <v>15</v>
      </c>
      <c r="C74" s="8" t="s">
        <v>13</v>
      </c>
      <c r="D74" s="6" t="s">
        <v>18</v>
      </c>
      <c r="E74" s="156">
        <v>156.26</v>
      </c>
      <c r="F74" s="28"/>
      <c r="G74" s="32">
        <v>8</v>
      </c>
      <c r="H74" s="51">
        <f t="shared" si="38"/>
        <v>1250.08</v>
      </c>
      <c r="I74" s="32">
        <v>8</v>
      </c>
      <c r="J74" s="48">
        <f t="shared" si="39"/>
        <v>1250.08</v>
      </c>
      <c r="K74" s="29">
        <v>6</v>
      </c>
      <c r="L74" s="48">
        <f t="shared" si="40"/>
        <v>937.56</v>
      </c>
      <c r="M74" s="29">
        <v>9</v>
      </c>
      <c r="N74" s="48">
        <f t="shared" si="4"/>
        <v>1406.34</v>
      </c>
      <c r="O74" s="32">
        <v>9</v>
      </c>
      <c r="P74" s="48">
        <f t="shared" si="5"/>
        <v>1406.34</v>
      </c>
      <c r="Q74" s="32">
        <f>4+2+1.5</f>
        <v>7.5</v>
      </c>
      <c r="R74" s="48">
        <f t="shared" si="6"/>
        <v>1171.9499999999998</v>
      </c>
      <c r="S74" s="29">
        <v>5</v>
      </c>
      <c r="T74" s="48">
        <f t="shared" si="7"/>
        <v>781.3</v>
      </c>
      <c r="U74" s="92">
        <v>4</v>
      </c>
      <c r="V74" s="48">
        <f t="shared" si="8"/>
        <v>625.04</v>
      </c>
      <c r="W74" s="29">
        <v>4</v>
      </c>
      <c r="X74" s="48">
        <v>554.04</v>
      </c>
      <c r="Y74" s="98">
        <v>6</v>
      </c>
      <c r="Z74" s="48">
        <f t="shared" si="37"/>
        <v>937.56</v>
      </c>
      <c r="AA74" s="98"/>
      <c r="AB74" s="48">
        <f t="shared" si="10"/>
        <v>0</v>
      </c>
      <c r="AC74" s="98">
        <v>5</v>
      </c>
      <c r="AD74" s="48">
        <f>+AC74*[1]Dublin!E75</f>
        <v>692.55</v>
      </c>
      <c r="AE74" s="81">
        <v>8</v>
      </c>
      <c r="AF74" s="127">
        <f t="shared" si="42"/>
        <v>1250.08</v>
      </c>
      <c r="AG74" s="81">
        <f>5+1</f>
        <v>6</v>
      </c>
      <c r="AH74" s="127">
        <f t="shared" si="41"/>
        <v>937.56</v>
      </c>
      <c r="AI74" s="81">
        <v>5</v>
      </c>
      <c r="AJ74" s="127">
        <f t="shared" si="43"/>
        <v>781.3</v>
      </c>
      <c r="AK74" s="84">
        <v>5</v>
      </c>
      <c r="AL74" s="118">
        <f t="shared" si="44"/>
        <v>781.3</v>
      </c>
    </row>
    <row r="75" spans="1:38" x14ac:dyDescent="0.3">
      <c r="A75" s="7" t="s">
        <v>11</v>
      </c>
      <c r="B75" s="8" t="s">
        <v>12</v>
      </c>
      <c r="C75" s="8" t="s">
        <v>69</v>
      </c>
      <c r="D75" s="6" t="s">
        <v>14</v>
      </c>
      <c r="E75" s="130">
        <v>3.1</v>
      </c>
      <c r="F75" s="27"/>
      <c r="G75" s="32">
        <v>900</v>
      </c>
      <c r="H75" s="51">
        <f t="shared" si="38"/>
        <v>2790</v>
      </c>
      <c r="I75" s="32">
        <v>880</v>
      </c>
      <c r="J75" s="48">
        <f t="shared" si="39"/>
        <v>2728</v>
      </c>
      <c r="K75" s="29">
        <v>800</v>
      </c>
      <c r="L75" s="48">
        <f t="shared" si="40"/>
        <v>2480</v>
      </c>
      <c r="M75" s="29">
        <v>750</v>
      </c>
      <c r="N75" s="48">
        <f t="shared" si="4"/>
        <v>2325</v>
      </c>
      <c r="O75" s="29">
        <v>700</v>
      </c>
      <c r="P75" s="48">
        <f t="shared" si="5"/>
        <v>2170</v>
      </c>
      <c r="Q75" s="75">
        <f>900*0.6</f>
        <v>540</v>
      </c>
      <c r="R75" s="48">
        <f t="shared" si="6"/>
        <v>1674</v>
      </c>
      <c r="S75" s="82">
        <v>500</v>
      </c>
      <c r="T75" s="48">
        <f t="shared" si="7"/>
        <v>1550</v>
      </c>
      <c r="U75" s="92">
        <v>425</v>
      </c>
      <c r="V75" s="48">
        <f t="shared" si="8"/>
        <v>1317.5</v>
      </c>
      <c r="W75" s="82">
        <v>325</v>
      </c>
      <c r="X75" s="48">
        <v>1007.5</v>
      </c>
      <c r="Y75" s="98">
        <v>300</v>
      </c>
      <c r="Z75" s="48">
        <f t="shared" si="37"/>
        <v>930</v>
      </c>
      <c r="AA75" s="98">
        <v>290</v>
      </c>
      <c r="AB75" s="48">
        <f t="shared" si="10"/>
        <v>899</v>
      </c>
      <c r="AC75" s="98">
        <v>200</v>
      </c>
      <c r="AD75" s="48">
        <f>+AC75*[1]Dublin!E76</f>
        <v>620</v>
      </c>
      <c r="AE75" s="81">
        <v>135</v>
      </c>
      <c r="AF75" s="127">
        <f t="shared" si="42"/>
        <v>418.5</v>
      </c>
      <c r="AG75" s="81">
        <v>100</v>
      </c>
      <c r="AH75" s="127">
        <f>AG75*E75</f>
        <v>310</v>
      </c>
      <c r="AI75" s="81">
        <v>850</v>
      </c>
      <c r="AJ75" s="127">
        <f t="shared" si="43"/>
        <v>2635</v>
      </c>
      <c r="AK75" s="84">
        <v>720</v>
      </c>
      <c r="AL75" s="118">
        <f t="shared" si="44"/>
        <v>2232</v>
      </c>
    </row>
    <row r="76" spans="1:38" x14ac:dyDescent="0.3">
      <c r="A76" s="7" t="s">
        <v>85</v>
      </c>
      <c r="B76" s="8" t="s">
        <v>15</v>
      </c>
      <c r="C76" s="8" t="s">
        <v>69</v>
      </c>
      <c r="D76" s="6" t="s">
        <v>61</v>
      </c>
      <c r="E76" s="155">
        <v>150.6</v>
      </c>
      <c r="F76" s="26"/>
      <c r="G76" s="32">
        <v>6</v>
      </c>
      <c r="H76" s="51">
        <f t="shared" si="38"/>
        <v>903.59999999999991</v>
      </c>
      <c r="I76" s="32">
        <v>3</v>
      </c>
      <c r="J76" s="48">
        <f t="shared" si="39"/>
        <v>451.79999999999995</v>
      </c>
      <c r="K76" s="29">
        <v>0.8</v>
      </c>
      <c r="L76" s="48">
        <f t="shared" si="40"/>
        <v>120.48</v>
      </c>
      <c r="M76" s="29">
        <v>2</v>
      </c>
      <c r="N76" s="48">
        <f t="shared" si="4"/>
        <v>301.2</v>
      </c>
      <c r="O76" s="29">
        <v>2</v>
      </c>
      <c r="P76" s="48">
        <f t="shared" si="5"/>
        <v>301.2</v>
      </c>
      <c r="Q76" s="74">
        <v>1</v>
      </c>
      <c r="R76" s="48">
        <f t="shared" si="6"/>
        <v>150.6</v>
      </c>
      <c r="S76" s="29">
        <v>0.5</v>
      </c>
      <c r="T76" s="48">
        <f t="shared" si="7"/>
        <v>75.3</v>
      </c>
      <c r="U76" s="92"/>
      <c r="V76" s="48">
        <f t="shared" si="8"/>
        <v>0</v>
      </c>
      <c r="W76" s="29">
        <v>5</v>
      </c>
      <c r="X76" s="48">
        <v>713.19999999999993</v>
      </c>
      <c r="Y76" s="98">
        <v>2</v>
      </c>
      <c r="Z76" s="48">
        <f t="shared" si="37"/>
        <v>301.2</v>
      </c>
      <c r="AA76" s="98">
        <v>4</v>
      </c>
      <c r="AB76" s="48">
        <f t="shared" ref="AB76:AB84" si="45">+AA76*E76</f>
        <v>602.4</v>
      </c>
      <c r="AC76" s="98"/>
      <c r="AD76" s="48">
        <f>+AC76*[1]Dublin!E77</f>
        <v>0</v>
      </c>
      <c r="AE76" s="81"/>
      <c r="AF76" s="127">
        <f t="shared" si="42"/>
        <v>0</v>
      </c>
      <c r="AG76" s="81">
        <v>1</v>
      </c>
      <c r="AH76" s="127">
        <f t="shared" si="41"/>
        <v>150.6</v>
      </c>
      <c r="AI76" s="81">
        <v>1</v>
      </c>
      <c r="AJ76" s="127">
        <f t="shared" si="43"/>
        <v>150.6</v>
      </c>
      <c r="AK76" s="84"/>
      <c r="AL76" s="118"/>
    </row>
    <row r="77" spans="1:38" x14ac:dyDescent="0.3">
      <c r="A77" s="129" t="s">
        <v>80</v>
      </c>
      <c r="B77" s="8" t="s">
        <v>15</v>
      </c>
      <c r="C77" s="8" t="s">
        <v>69</v>
      </c>
      <c r="D77" s="6" t="s">
        <v>16</v>
      </c>
      <c r="E77" s="100">
        <v>311.43</v>
      </c>
      <c r="F77" s="28"/>
      <c r="G77" s="32">
        <v>2</v>
      </c>
      <c r="H77" s="51">
        <f t="shared" si="38"/>
        <v>622.86</v>
      </c>
      <c r="I77" s="32"/>
      <c r="J77" s="48">
        <f t="shared" si="39"/>
        <v>0</v>
      </c>
      <c r="K77" s="29">
        <v>2</v>
      </c>
      <c r="L77" s="48">
        <f t="shared" si="40"/>
        <v>622.86</v>
      </c>
      <c r="M77" s="29">
        <v>2</v>
      </c>
      <c r="N77" s="48">
        <f t="shared" si="4"/>
        <v>622.86</v>
      </c>
      <c r="O77" s="29">
        <v>0.5</v>
      </c>
      <c r="P77" s="48">
        <f t="shared" si="5"/>
        <v>155.715</v>
      </c>
      <c r="Q77" s="74">
        <v>0.5</v>
      </c>
      <c r="R77" s="48">
        <f t="shared" si="6"/>
        <v>155.715</v>
      </c>
      <c r="S77" s="29">
        <v>0</v>
      </c>
      <c r="T77" s="48">
        <f t="shared" si="7"/>
        <v>0</v>
      </c>
      <c r="U77" s="92"/>
      <c r="V77" s="48">
        <f t="shared" si="8"/>
        <v>0</v>
      </c>
      <c r="W77" s="29">
        <v>0</v>
      </c>
      <c r="X77" s="48">
        <v>0</v>
      </c>
      <c r="Y77" s="98"/>
      <c r="Z77" s="48">
        <f t="shared" si="37"/>
        <v>0</v>
      </c>
      <c r="AA77" s="98"/>
      <c r="AB77" s="48">
        <f t="shared" si="45"/>
        <v>0</v>
      </c>
      <c r="AC77" s="98"/>
      <c r="AD77" s="48">
        <f>+AC77*[1]Dublin!E78</f>
        <v>0</v>
      </c>
      <c r="AE77" s="81">
        <v>1</v>
      </c>
      <c r="AF77" s="127">
        <f t="shared" si="42"/>
        <v>311.43</v>
      </c>
      <c r="AG77" s="81"/>
      <c r="AH77" s="127">
        <f t="shared" si="41"/>
        <v>0</v>
      </c>
      <c r="AI77" s="81"/>
      <c r="AJ77" s="127">
        <f t="shared" si="43"/>
        <v>0</v>
      </c>
      <c r="AK77" s="84"/>
      <c r="AL77" s="118"/>
    </row>
    <row r="78" spans="1:38" x14ac:dyDescent="0.3">
      <c r="A78" s="7" t="s">
        <v>169</v>
      </c>
      <c r="B78" s="8" t="s">
        <v>117</v>
      </c>
      <c r="C78" s="8" t="s">
        <v>69</v>
      </c>
      <c r="D78" s="6"/>
      <c r="E78" s="100">
        <v>253</v>
      </c>
      <c r="F78" s="28"/>
      <c r="G78" s="29"/>
      <c r="H78" s="51"/>
      <c r="I78" s="29"/>
      <c r="J78" s="48"/>
      <c r="K78" s="29">
        <v>1.5</v>
      </c>
      <c r="L78" s="48">
        <f>+K78*E78</f>
        <v>379.5</v>
      </c>
      <c r="M78" s="29">
        <v>0.5</v>
      </c>
      <c r="N78" s="48">
        <f t="shared" si="4"/>
        <v>126.5</v>
      </c>
      <c r="O78" s="29">
        <v>0.5</v>
      </c>
      <c r="P78" s="48">
        <f t="shared" si="5"/>
        <v>126.5</v>
      </c>
      <c r="Q78" s="74">
        <v>0.5</v>
      </c>
      <c r="R78" s="48">
        <f t="shared" si="6"/>
        <v>126.5</v>
      </c>
      <c r="S78" s="29">
        <v>0.5</v>
      </c>
      <c r="T78" s="48">
        <f t="shared" si="7"/>
        <v>126.5</v>
      </c>
      <c r="U78" s="92">
        <v>0.5</v>
      </c>
      <c r="V78" s="48">
        <f t="shared" si="8"/>
        <v>126.5</v>
      </c>
      <c r="W78" s="29">
        <v>0.3</v>
      </c>
      <c r="X78" s="48">
        <v>75.899999999999991</v>
      </c>
      <c r="Y78" s="98"/>
      <c r="Z78" s="48">
        <f t="shared" si="37"/>
        <v>0</v>
      </c>
      <c r="AA78" s="98"/>
      <c r="AB78" s="48">
        <f t="shared" si="45"/>
        <v>0</v>
      </c>
      <c r="AC78" s="98"/>
      <c r="AD78" s="48">
        <f>+AC78*[1]Dublin!E79</f>
        <v>0</v>
      </c>
      <c r="AE78" s="81"/>
      <c r="AF78" s="127">
        <f t="shared" si="42"/>
        <v>0</v>
      </c>
      <c r="AG78" s="81">
        <v>0.5</v>
      </c>
      <c r="AH78" s="127">
        <f t="shared" si="41"/>
        <v>126.5</v>
      </c>
      <c r="AI78" s="81">
        <v>0.5</v>
      </c>
      <c r="AJ78" s="127">
        <f t="shared" si="43"/>
        <v>126.5</v>
      </c>
      <c r="AK78" s="84"/>
      <c r="AL78" s="118"/>
    </row>
    <row r="79" spans="1:38" ht="19.2" customHeight="1" x14ac:dyDescent="0.3">
      <c r="A79" s="129" t="s">
        <v>91</v>
      </c>
      <c r="B79" s="8" t="s">
        <v>15</v>
      </c>
      <c r="C79" s="8" t="s">
        <v>170</v>
      </c>
      <c r="D79" s="6" t="s">
        <v>16</v>
      </c>
      <c r="E79" s="100">
        <v>45.2</v>
      </c>
      <c r="F79" s="28"/>
      <c r="G79" s="32">
        <v>2</v>
      </c>
      <c r="H79" s="51">
        <f t="shared" si="38"/>
        <v>90.4</v>
      </c>
      <c r="I79" s="32">
        <v>6</v>
      </c>
      <c r="J79" s="48">
        <f t="shared" si="39"/>
        <v>271.20000000000005</v>
      </c>
      <c r="K79" s="29">
        <v>4</v>
      </c>
      <c r="L79" s="48">
        <f t="shared" si="40"/>
        <v>180.8</v>
      </c>
      <c r="M79" s="29">
        <v>6.5</v>
      </c>
      <c r="N79" s="48">
        <f t="shared" si="4"/>
        <v>293.8</v>
      </c>
      <c r="O79" s="29">
        <v>3.5</v>
      </c>
      <c r="P79" s="48">
        <f t="shared" si="5"/>
        <v>158.20000000000002</v>
      </c>
      <c r="Q79" s="32">
        <f>3+2+1</f>
        <v>6</v>
      </c>
      <c r="R79" s="48">
        <f t="shared" si="6"/>
        <v>271.20000000000005</v>
      </c>
      <c r="S79" s="29">
        <v>1.5</v>
      </c>
      <c r="T79" s="48">
        <f t="shared" si="7"/>
        <v>67.800000000000011</v>
      </c>
      <c r="U79" s="92">
        <v>3</v>
      </c>
      <c r="V79" s="48">
        <f t="shared" si="8"/>
        <v>135.60000000000002</v>
      </c>
      <c r="W79" s="29">
        <v>4</v>
      </c>
      <c r="X79" s="48">
        <v>180.8</v>
      </c>
      <c r="Y79" s="98">
        <v>2</v>
      </c>
      <c r="Z79" s="48">
        <f t="shared" si="37"/>
        <v>90.4</v>
      </c>
      <c r="AA79" s="98"/>
      <c r="AB79" s="48">
        <f t="shared" si="45"/>
        <v>0</v>
      </c>
      <c r="AC79" s="98">
        <v>2</v>
      </c>
      <c r="AD79" s="48">
        <f>+AC79*[1]Dublin!E80</f>
        <v>90.4</v>
      </c>
      <c r="AE79" s="81">
        <v>2</v>
      </c>
      <c r="AF79" s="127">
        <f t="shared" si="42"/>
        <v>90.4</v>
      </c>
      <c r="AG79" s="81"/>
      <c r="AH79" s="127">
        <f t="shared" si="41"/>
        <v>0</v>
      </c>
      <c r="AI79" s="81">
        <v>8</v>
      </c>
      <c r="AJ79" s="127">
        <f t="shared" si="43"/>
        <v>361.6</v>
      </c>
      <c r="AK79" s="84">
        <v>5</v>
      </c>
      <c r="AL79" s="118">
        <f t="shared" si="44"/>
        <v>226</v>
      </c>
    </row>
    <row r="80" spans="1:38" x14ac:dyDescent="0.3">
      <c r="A80" s="128" t="s">
        <v>100</v>
      </c>
      <c r="B80" s="8" t="s">
        <v>101</v>
      </c>
      <c r="C80" s="8" t="s">
        <v>102</v>
      </c>
      <c r="D80" s="6" t="s">
        <v>18</v>
      </c>
      <c r="E80" s="100">
        <v>292</v>
      </c>
      <c r="F80" s="28"/>
      <c r="G80" s="32">
        <v>1</v>
      </c>
      <c r="H80" s="51">
        <f t="shared" si="38"/>
        <v>292</v>
      </c>
      <c r="I80" s="32">
        <v>2</v>
      </c>
      <c r="J80" s="48">
        <f t="shared" si="39"/>
        <v>584</v>
      </c>
      <c r="K80" s="29">
        <v>1.5</v>
      </c>
      <c r="L80" s="48">
        <f t="shared" si="40"/>
        <v>438</v>
      </c>
      <c r="M80" s="29">
        <v>1.5</v>
      </c>
      <c r="N80" s="48">
        <f t="shared" si="4"/>
        <v>438</v>
      </c>
      <c r="O80" s="29">
        <v>1.5</v>
      </c>
      <c r="P80" s="48">
        <f t="shared" si="5"/>
        <v>438</v>
      </c>
      <c r="Q80" s="32"/>
      <c r="R80" s="48">
        <f t="shared" si="6"/>
        <v>0</v>
      </c>
      <c r="S80" s="29">
        <v>1</v>
      </c>
      <c r="T80" s="48">
        <f t="shared" si="7"/>
        <v>292</v>
      </c>
      <c r="U80" s="92">
        <v>0.3</v>
      </c>
      <c r="V80" s="48">
        <f t="shared" si="8"/>
        <v>87.6</v>
      </c>
      <c r="W80" s="29">
        <v>3</v>
      </c>
      <c r="X80" s="48">
        <v>876</v>
      </c>
      <c r="Y80" s="98">
        <v>3</v>
      </c>
      <c r="Z80" s="48">
        <f t="shared" si="37"/>
        <v>876</v>
      </c>
      <c r="AA80" s="98">
        <v>1</v>
      </c>
      <c r="AB80" s="48">
        <f t="shared" si="45"/>
        <v>292</v>
      </c>
      <c r="AC80" s="98"/>
      <c r="AD80" s="48">
        <f>+AC80*[1]Dublin!E81</f>
        <v>0</v>
      </c>
      <c r="AE80" s="81"/>
      <c r="AF80" s="127">
        <f t="shared" si="42"/>
        <v>0</v>
      </c>
      <c r="AG80" s="81">
        <f>0.5+0.5</f>
        <v>1</v>
      </c>
      <c r="AH80" s="127">
        <f t="shared" si="41"/>
        <v>292</v>
      </c>
      <c r="AI80" s="81">
        <v>1</v>
      </c>
      <c r="AJ80" s="127">
        <f t="shared" si="43"/>
        <v>292</v>
      </c>
      <c r="AK80" s="84">
        <v>2</v>
      </c>
      <c r="AL80" s="118">
        <f t="shared" si="44"/>
        <v>584</v>
      </c>
    </row>
    <row r="81" spans="1:52" x14ac:dyDescent="0.3">
      <c r="A81" s="7" t="s">
        <v>98</v>
      </c>
      <c r="B81" s="8" t="s">
        <v>15</v>
      </c>
      <c r="C81" s="8" t="s">
        <v>102</v>
      </c>
      <c r="D81" s="6" t="s">
        <v>30</v>
      </c>
      <c r="E81" s="100">
        <v>21.04</v>
      </c>
      <c r="F81" s="28"/>
      <c r="G81" s="32">
        <v>8</v>
      </c>
      <c r="H81" s="51">
        <f t="shared" si="38"/>
        <v>168.32</v>
      </c>
      <c r="I81" s="32">
        <v>8</v>
      </c>
      <c r="J81" s="48">
        <f t="shared" si="39"/>
        <v>168.32</v>
      </c>
      <c r="K81" s="29">
        <v>8</v>
      </c>
      <c r="L81" s="48">
        <f t="shared" si="40"/>
        <v>168.32</v>
      </c>
      <c r="M81" s="29">
        <v>7</v>
      </c>
      <c r="N81" s="48">
        <f t="shared" si="4"/>
        <v>147.28</v>
      </c>
      <c r="O81" s="29">
        <v>3</v>
      </c>
      <c r="P81" s="48">
        <f t="shared" si="5"/>
        <v>63.12</v>
      </c>
      <c r="Q81" s="32"/>
      <c r="R81" s="48">
        <f t="shared" si="6"/>
        <v>0</v>
      </c>
      <c r="S81" s="29">
        <v>3</v>
      </c>
      <c r="T81" s="48">
        <f t="shared" si="7"/>
        <v>63.12</v>
      </c>
      <c r="U81" s="92"/>
      <c r="V81" s="48">
        <f t="shared" si="8"/>
        <v>0</v>
      </c>
      <c r="W81" s="29">
        <v>0</v>
      </c>
      <c r="X81" s="48">
        <v>0</v>
      </c>
      <c r="Y81" s="98"/>
      <c r="Z81" s="48">
        <f t="shared" si="37"/>
        <v>0</v>
      </c>
      <c r="AA81" s="98"/>
      <c r="AB81" s="48">
        <f t="shared" si="45"/>
        <v>0</v>
      </c>
      <c r="AC81" s="98"/>
      <c r="AD81" s="48">
        <f>+AC81*[1]Dublin!E82</f>
        <v>0</v>
      </c>
      <c r="AE81" s="81"/>
      <c r="AF81" s="127">
        <f t="shared" si="42"/>
        <v>0</v>
      </c>
      <c r="AG81" s="81"/>
      <c r="AH81" s="127">
        <f t="shared" si="41"/>
        <v>0</v>
      </c>
      <c r="AI81" s="81"/>
      <c r="AJ81" s="127">
        <f t="shared" si="43"/>
        <v>0</v>
      </c>
      <c r="AK81" s="84"/>
      <c r="AL81" s="118"/>
    </row>
    <row r="82" spans="1:52" x14ac:dyDescent="0.3">
      <c r="A82" s="7" t="s">
        <v>265</v>
      </c>
      <c r="B82" s="8" t="s">
        <v>4</v>
      </c>
      <c r="C82" s="8" t="s">
        <v>29</v>
      </c>
      <c r="D82" s="6">
        <v>1</v>
      </c>
      <c r="E82" s="100">
        <v>1086</v>
      </c>
      <c r="F82" s="28"/>
      <c r="G82" s="32"/>
      <c r="H82" s="51"/>
      <c r="I82" s="32"/>
      <c r="J82" s="48"/>
      <c r="K82" s="29"/>
      <c r="L82" s="48"/>
      <c r="M82" s="29"/>
      <c r="N82" s="48"/>
      <c r="O82" s="29"/>
      <c r="P82" s="48"/>
      <c r="Q82" s="32"/>
      <c r="R82" s="48">
        <f t="shared" si="6"/>
        <v>0</v>
      </c>
      <c r="S82" s="29"/>
      <c r="T82" s="48"/>
      <c r="U82" s="92"/>
      <c r="V82" s="48">
        <f t="shared" si="8"/>
        <v>0</v>
      </c>
      <c r="W82" s="29"/>
      <c r="X82" s="48"/>
      <c r="Y82" s="98"/>
      <c r="Z82" s="48">
        <f t="shared" si="37"/>
        <v>0</v>
      </c>
      <c r="AA82" s="98"/>
      <c r="AB82" s="48">
        <f t="shared" si="45"/>
        <v>0</v>
      </c>
      <c r="AC82" s="98"/>
      <c r="AD82" s="48"/>
      <c r="AE82" s="81"/>
      <c r="AF82" s="127">
        <f t="shared" si="42"/>
        <v>0</v>
      </c>
      <c r="AG82" s="81"/>
      <c r="AH82" s="127">
        <f t="shared" si="41"/>
        <v>0</v>
      </c>
      <c r="AI82" s="81">
        <v>1</v>
      </c>
      <c r="AJ82" s="127">
        <f t="shared" si="43"/>
        <v>1086</v>
      </c>
      <c r="AK82" s="84">
        <v>1</v>
      </c>
      <c r="AL82" s="118">
        <f t="shared" si="44"/>
        <v>1086</v>
      </c>
    </row>
    <row r="83" spans="1:52" x14ac:dyDescent="0.3">
      <c r="A83" s="7" t="s">
        <v>105</v>
      </c>
      <c r="B83" s="8" t="s">
        <v>15</v>
      </c>
      <c r="C83" s="8" t="s">
        <v>102</v>
      </c>
      <c r="D83" s="6" t="s">
        <v>30</v>
      </c>
      <c r="E83" s="100">
        <v>21.04</v>
      </c>
      <c r="F83" s="28"/>
      <c r="G83" s="32">
        <v>0</v>
      </c>
      <c r="H83" s="51">
        <f t="shared" si="38"/>
        <v>0</v>
      </c>
      <c r="I83" s="32"/>
      <c r="J83" s="48">
        <f t="shared" si="39"/>
        <v>0</v>
      </c>
      <c r="K83" s="29">
        <v>0</v>
      </c>
      <c r="L83" s="48">
        <f t="shared" si="40"/>
        <v>0</v>
      </c>
      <c r="M83" s="29">
        <v>0</v>
      </c>
      <c r="N83" s="48">
        <f t="shared" si="4"/>
        <v>0</v>
      </c>
      <c r="O83" s="29"/>
      <c r="P83" s="48">
        <f t="shared" si="5"/>
        <v>0</v>
      </c>
      <c r="Q83" s="32"/>
      <c r="R83" s="48">
        <f t="shared" si="6"/>
        <v>0</v>
      </c>
      <c r="S83" s="29"/>
      <c r="T83" s="48">
        <f t="shared" si="7"/>
        <v>0</v>
      </c>
      <c r="U83" s="92"/>
      <c r="V83" s="48">
        <f t="shared" si="8"/>
        <v>0</v>
      </c>
      <c r="W83" s="29">
        <v>0</v>
      </c>
      <c r="X83" s="48">
        <v>0</v>
      </c>
      <c r="Y83" s="98"/>
      <c r="Z83" s="48">
        <f t="shared" si="37"/>
        <v>0</v>
      </c>
      <c r="AA83" s="98"/>
      <c r="AB83" s="48">
        <f t="shared" si="45"/>
        <v>0</v>
      </c>
      <c r="AC83" s="98"/>
      <c r="AD83" s="48">
        <f>+AC83*[1]Dublin!E83</f>
        <v>0</v>
      </c>
      <c r="AE83" s="81"/>
      <c r="AF83" s="127">
        <f t="shared" si="42"/>
        <v>0</v>
      </c>
      <c r="AG83" s="81"/>
      <c r="AH83" s="127">
        <f t="shared" si="41"/>
        <v>0</v>
      </c>
      <c r="AI83" s="81"/>
      <c r="AJ83" s="127">
        <f t="shared" si="43"/>
        <v>0</v>
      </c>
      <c r="AK83" s="84"/>
      <c r="AL83" s="118"/>
    </row>
    <row r="84" spans="1:52" x14ac:dyDescent="0.3">
      <c r="A84" s="7" t="s">
        <v>154</v>
      </c>
      <c r="B84" s="8" t="s">
        <v>141</v>
      </c>
      <c r="C84" s="8" t="s">
        <v>129</v>
      </c>
      <c r="D84" s="6" t="s">
        <v>153</v>
      </c>
      <c r="E84" s="100">
        <v>41.5</v>
      </c>
      <c r="F84" s="28"/>
      <c r="G84" s="29">
        <v>18</v>
      </c>
      <c r="H84" s="51">
        <f t="shared" si="38"/>
        <v>747</v>
      </c>
      <c r="I84" s="29">
        <v>18</v>
      </c>
      <c r="J84" s="48">
        <f t="shared" si="39"/>
        <v>747</v>
      </c>
      <c r="K84" s="29">
        <v>18</v>
      </c>
      <c r="L84" s="48">
        <f t="shared" si="40"/>
        <v>747</v>
      </c>
      <c r="M84" s="29">
        <v>18</v>
      </c>
      <c r="N84" s="48">
        <f t="shared" si="4"/>
        <v>747</v>
      </c>
      <c r="O84" s="29">
        <v>18</v>
      </c>
      <c r="P84" s="48">
        <f t="shared" si="5"/>
        <v>747</v>
      </c>
      <c r="Q84" s="74">
        <v>18</v>
      </c>
      <c r="R84" s="48">
        <f t="shared" si="6"/>
        <v>747</v>
      </c>
      <c r="S84" s="29">
        <v>18</v>
      </c>
      <c r="T84" s="48">
        <f t="shared" si="7"/>
        <v>747</v>
      </c>
      <c r="U84" s="92">
        <v>18</v>
      </c>
      <c r="V84" s="48">
        <f t="shared" si="8"/>
        <v>747</v>
      </c>
      <c r="W84" s="29">
        <v>18</v>
      </c>
      <c r="X84" s="48">
        <v>747</v>
      </c>
      <c r="Y84" s="98">
        <v>14</v>
      </c>
      <c r="Z84" s="48">
        <f t="shared" ref="Z84" si="46">+Y84*E84</f>
        <v>581</v>
      </c>
      <c r="AA84" s="98"/>
      <c r="AB84" s="48">
        <f t="shared" si="45"/>
        <v>0</v>
      </c>
      <c r="AC84" s="98">
        <v>15</v>
      </c>
      <c r="AD84" s="48">
        <f>+AC84*[1]Dublin!E84</f>
        <v>622.5</v>
      </c>
      <c r="AE84" s="81">
        <v>15</v>
      </c>
      <c r="AF84" s="127">
        <f t="shared" si="42"/>
        <v>622.5</v>
      </c>
      <c r="AG84" s="81">
        <v>14</v>
      </c>
      <c r="AH84" s="127">
        <f t="shared" si="41"/>
        <v>581</v>
      </c>
      <c r="AI84" s="81">
        <v>14</v>
      </c>
      <c r="AJ84" s="127">
        <f t="shared" si="43"/>
        <v>581</v>
      </c>
      <c r="AK84" s="84">
        <v>14</v>
      </c>
      <c r="AL84" s="118">
        <f t="shared" si="44"/>
        <v>581</v>
      </c>
    </row>
    <row r="85" spans="1:52" ht="16.2" thickBot="1" x14ac:dyDescent="0.35">
      <c r="H85" s="52"/>
      <c r="J85" s="49"/>
      <c r="L85" s="49"/>
      <c r="N85" s="49"/>
      <c r="P85" s="49"/>
      <c r="R85" s="49"/>
      <c r="T85" s="49"/>
      <c r="V85" s="49"/>
      <c r="X85" s="49"/>
      <c r="Z85" s="49"/>
      <c r="AB85" s="49"/>
      <c r="AD85" s="49"/>
    </row>
    <row r="86" spans="1:52" ht="32.4" thickBot="1" x14ac:dyDescent="0.4">
      <c r="A86" s="10" t="s">
        <v>31</v>
      </c>
      <c r="B86" s="10"/>
      <c r="C86" s="10"/>
      <c r="D86" s="10"/>
      <c r="E86" s="10"/>
      <c r="F86" s="10"/>
      <c r="H86" s="53">
        <f>SUBTOTAL(9,H3:H84)</f>
        <v>61251.44</v>
      </c>
      <c r="J86" s="50">
        <f>SUBTOTAL(9,J3:J84)</f>
        <v>64096.015000000007</v>
      </c>
      <c r="L86" s="50">
        <f>SUBTOTAL(9,L3:L84)</f>
        <v>53982.670000000006</v>
      </c>
      <c r="N86" s="50">
        <f>SUBTOTAL(9,N3:N84)</f>
        <v>53147.729999999996</v>
      </c>
      <c r="P86" s="50">
        <f>SUBTOTAL(9,P3:P84)</f>
        <v>60895.275000000001</v>
      </c>
      <c r="R86" s="50" t="e">
        <f>SUBTOTAL(9,R3:R84)</f>
        <v>#REF!</v>
      </c>
      <c r="T86" s="50">
        <f>SUBTOTAL(9,T3:T84)</f>
        <v>45421.085000000014</v>
      </c>
      <c r="V86" s="50" t="e">
        <f>SUBTOTAL(9,V3:V84)</f>
        <v>#REF!</v>
      </c>
      <c r="X86" s="50">
        <f>SUBTOTAL(9,X3:X84)</f>
        <v>55306.385000000009</v>
      </c>
      <c r="Z86" s="50">
        <f>SUBTOTAL(9,Z3:Z84)</f>
        <v>52444.14</v>
      </c>
      <c r="AB86" s="131">
        <f>SUBTOTAL(9,AB3:AB84)</f>
        <v>38321.61</v>
      </c>
      <c r="AC86" s="132"/>
      <c r="AD86" s="131">
        <f>SUBTOTAL(9,AD3:AD84)</f>
        <v>29537.97</v>
      </c>
      <c r="AE86" s="131"/>
      <c r="AF86" s="131">
        <f>SUBTOTAL(9,AF3:AF84)</f>
        <v>40572.700000000004</v>
      </c>
      <c r="AG86" s="131"/>
      <c r="AH86" s="131">
        <f>SUBTOTAL(9,AH3:AH84)</f>
        <v>47428.28</v>
      </c>
      <c r="AI86" s="131"/>
      <c r="AJ86" s="131">
        <f>SUBTOTAL(9,AJ3:AJ84)</f>
        <v>44929.630000000005</v>
      </c>
      <c r="AK86" s="131"/>
      <c r="AL86" s="131">
        <f>SUBTOTAL(9,AL3:AL84)</f>
        <v>47958.53</v>
      </c>
      <c r="AM86" s="135"/>
      <c r="AN86" s="39" t="s">
        <v>142</v>
      </c>
      <c r="AO86" s="40"/>
      <c r="AP86" s="40"/>
      <c r="AQ86" s="40"/>
      <c r="AR86" s="40"/>
      <c r="AS86" s="41"/>
      <c r="AT86" s="39" t="s">
        <v>143</v>
      </c>
      <c r="AU86" s="40"/>
      <c r="AV86" s="40"/>
      <c r="AW86" s="41"/>
      <c r="AX86" s="42" t="s">
        <v>40</v>
      </c>
      <c r="AY86" s="43"/>
      <c r="AZ86" s="44"/>
    </row>
    <row r="87" spans="1:52" x14ac:dyDescent="0.3">
      <c r="A87" s="10"/>
      <c r="W87" s="95"/>
      <c r="AM87" s="136"/>
      <c r="AN87" s="45" t="s">
        <v>144</v>
      </c>
      <c r="AO87" s="46"/>
      <c r="AP87" s="46"/>
      <c r="AQ87" s="46" t="s">
        <v>145</v>
      </c>
      <c r="AR87" s="46" t="s">
        <v>146</v>
      </c>
      <c r="AS87" s="47" t="s">
        <v>147</v>
      </c>
      <c r="AT87" s="45" t="s">
        <v>144</v>
      </c>
      <c r="AU87" s="46" t="s">
        <v>145</v>
      </c>
      <c r="AV87" s="46" t="s">
        <v>146</v>
      </c>
      <c r="AW87" s="47" t="s">
        <v>147</v>
      </c>
      <c r="AX87" s="45" t="s">
        <v>144</v>
      </c>
      <c r="AY87" s="46" t="s">
        <v>145</v>
      </c>
      <c r="AZ87" s="47" t="s">
        <v>147</v>
      </c>
    </row>
    <row r="88" spans="1:52" x14ac:dyDescent="0.3">
      <c r="A88" s="10"/>
      <c r="L88" t="s">
        <v>164</v>
      </c>
      <c r="N88" t="s">
        <v>164</v>
      </c>
      <c r="P88" t="s">
        <v>164</v>
      </c>
      <c r="R88" t="s">
        <v>164</v>
      </c>
      <c r="T88" t="s">
        <v>164</v>
      </c>
      <c r="W88" s="96"/>
      <c r="AM88" s="136" t="s">
        <v>219</v>
      </c>
      <c r="AN88" s="146">
        <v>3.5</v>
      </c>
      <c r="AQ88" s="138">
        <f>27*20/1000</f>
        <v>0.54</v>
      </c>
      <c r="AS88" s="33">
        <f>SUM(AN88:AR88)</f>
        <v>4.04</v>
      </c>
      <c r="AT88" s="146">
        <v>6</v>
      </c>
      <c r="AU88" s="138">
        <f>30*20/1000</f>
        <v>0.6</v>
      </c>
      <c r="AW88" s="33">
        <f>SUM(AT88:AV88)</f>
        <v>6.6</v>
      </c>
      <c r="AX88" s="34"/>
      <c r="AY88" s="138"/>
      <c r="AZ88" s="35">
        <f>(AX88*1)+(AY88*0.025)</f>
        <v>0</v>
      </c>
    </row>
    <row r="89" spans="1:52" ht="31.2" customHeight="1" x14ac:dyDescent="0.3">
      <c r="AM89" s="136" t="s">
        <v>159</v>
      </c>
      <c r="AN89" s="34"/>
      <c r="AQ89" s="244">
        <f>AQ104</f>
        <v>3</v>
      </c>
      <c r="AR89" s="35">
        <f>AQ97</f>
        <v>0.48</v>
      </c>
      <c r="AS89" s="35">
        <f>(AN89*1.5)+(AQ89)+AR89</f>
        <v>3.48</v>
      </c>
      <c r="AT89" s="34"/>
      <c r="AU89" s="244">
        <f>+AS104</f>
        <v>3</v>
      </c>
      <c r="AV89">
        <f>+AS97</f>
        <v>0.42</v>
      </c>
      <c r="AW89" s="35">
        <f>(AT89*1.5)+(AU89)+AV89</f>
        <v>3.42</v>
      </c>
      <c r="AX89" s="34"/>
      <c r="AY89" s="138"/>
      <c r="AZ89" s="35">
        <f>(AX89*1)+(AY89*0.025)</f>
        <v>0</v>
      </c>
    </row>
    <row r="90" spans="1:52" ht="16.2" thickBot="1" x14ac:dyDescent="0.35">
      <c r="AM90" s="137"/>
      <c r="AN90" s="36"/>
      <c r="AO90" s="37"/>
      <c r="AP90" s="37"/>
      <c r="AQ90" s="37"/>
      <c r="AR90" s="37"/>
      <c r="AS90" s="38">
        <f>SUM(AS88:AS89)</f>
        <v>7.52</v>
      </c>
      <c r="AT90" s="36"/>
      <c r="AU90" s="37"/>
      <c r="AV90" s="37"/>
      <c r="AW90" s="38">
        <f>SUM(AW88:AW89)</f>
        <v>10.02</v>
      </c>
      <c r="AX90" s="36"/>
      <c r="AY90" s="37"/>
      <c r="AZ90" s="38">
        <f>SUM(AZ88:AZ89)</f>
        <v>0</v>
      </c>
    </row>
    <row r="91" spans="1:52" ht="16.2" thickBot="1" x14ac:dyDescent="0.35"/>
    <row r="92" spans="1:52" ht="15.45" customHeight="1" x14ac:dyDescent="0.3">
      <c r="AE92" s="126"/>
      <c r="AF92" s="126"/>
      <c r="AG92" s="126"/>
      <c r="AH92" s="126"/>
      <c r="AI92" s="126"/>
      <c r="AJ92" s="126"/>
      <c r="AK92" s="126"/>
      <c r="AL92" s="126"/>
      <c r="AM92" s="124" t="s">
        <v>157</v>
      </c>
      <c r="AN92" s="101"/>
      <c r="AO92" s="101"/>
      <c r="AP92" s="101"/>
      <c r="AQ92" s="102">
        <v>200</v>
      </c>
      <c r="AR92" s="102" t="s">
        <v>158</v>
      </c>
      <c r="AS92" s="103"/>
    </row>
    <row r="93" spans="1:52" x14ac:dyDescent="0.3">
      <c r="AM93" s="34"/>
      <c r="AN93" s="133" t="s">
        <v>152</v>
      </c>
      <c r="AO93" s="133"/>
      <c r="AP93" s="133"/>
      <c r="AQ93" s="133" t="s">
        <v>264</v>
      </c>
      <c r="AR93" s="134" t="s">
        <v>151</v>
      </c>
      <c r="AS93" s="133" t="s">
        <v>264</v>
      </c>
    </row>
    <row r="94" spans="1:52" x14ac:dyDescent="0.3">
      <c r="AM94" s="34" t="s">
        <v>218</v>
      </c>
      <c r="AN94" s="139">
        <v>0.5</v>
      </c>
      <c r="AO94" s="105"/>
      <c r="AP94" s="105"/>
      <c r="AQ94" s="106">
        <f>200*AN94</f>
        <v>100</v>
      </c>
      <c r="AR94" s="139">
        <v>0.5</v>
      </c>
      <c r="AS94" s="107">
        <f>200*AR94</f>
        <v>100</v>
      </c>
    </row>
    <row r="95" spans="1:52" x14ac:dyDescent="0.3">
      <c r="AM95" s="34" t="s">
        <v>217</v>
      </c>
      <c r="AN95" s="140">
        <v>0.9</v>
      </c>
      <c r="AO95" s="108"/>
      <c r="AP95" s="108"/>
      <c r="AQ95" s="106">
        <f>200*AN95</f>
        <v>180</v>
      </c>
      <c r="AR95" s="140">
        <v>0.8</v>
      </c>
      <c r="AS95" s="107">
        <f>200*AR95</f>
        <v>160</v>
      </c>
    </row>
    <row r="96" spans="1:52" x14ac:dyDescent="0.3">
      <c r="AM96" s="34" t="s">
        <v>216</v>
      </c>
      <c r="AN96" s="141">
        <v>1</v>
      </c>
      <c r="AO96" s="108"/>
      <c r="AP96" s="108"/>
      <c r="AQ96" s="106">
        <f>200*AN96</f>
        <v>200</v>
      </c>
      <c r="AR96" s="141">
        <v>0.8</v>
      </c>
      <c r="AS96" s="107">
        <f>200*AR96</f>
        <v>160</v>
      </c>
    </row>
    <row r="97" spans="31:45" ht="16.2" thickBot="1" x14ac:dyDescent="0.35">
      <c r="AM97" s="36"/>
      <c r="AN97" s="37"/>
      <c r="AO97" s="37"/>
      <c r="AP97" s="37"/>
      <c r="AQ97" s="37">
        <f>SUM(AQ94:AQ96)/1000</f>
        <v>0.48</v>
      </c>
      <c r="AR97" s="145"/>
      <c r="AS97" s="38">
        <f>SUM(AS94:AS96)/1000</f>
        <v>0.42</v>
      </c>
    </row>
    <row r="98" spans="31:45" ht="16.2" thickBot="1" x14ac:dyDescent="0.35"/>
    <row r="99" spans="31:45" x14ac:dyDescent="0.3">
      <c r="AE99" s="126"/>
      <c r="AF99" s="126"/>
      <c r="AG99" s="126"/>
      <c r="AH99" s="126"/>
      <c r="AI99" s="126"/>
      <c r="AJ99" s="126"/>
      <c r="AK99" s="126"/>
      <c r="AL99" s="126"/>
      <c r="AM99" s="124" t="s">
        <v>145</v>
      </c>
      <c r="AN99" s="101"/>
      <c r="AO99" s="101"/>
      <c r="AP99" s="101"/>
      <c r="AQ99" s="102"/>
      <c r="AR99" s="102"/>
      <c r="AS99" s="103"/>
    </row>
    <row r="100" spans="31:45" x14ac:dyDescent="0.3">
      <c r="AM100" s="34"/>
      <c r="AN100" s="133" t="s">
        <v>152</v>
      </c>
      <c r="AO100" s="133"/>
      <c r="AP100" s="133"/>
      <c r="AQ100" s="133" t="s">
        <v>264</v>
      </c>
      <c r="AR100" s="134" t="s">
        <v>151</v>
      </c>
      <c r="AS100" s="104" t="s">
        <v>264</v>
      </c>
    </row>
    <row r="101" spans="31:45" x14ac:dyDescent="0.3">
      <c r="AM101" s="34" t="s">
        <v>218</v>
      </c>
      <c r="AN101" s="142">
        <v>50</v>
      </c>
      <c r="AO101" s="109"/>
      <c r="AP101" s="109"/>
      <c r="AQ101" s="106">
        <f>+AN101*20</f>
        <v>1000</v>
      </c>
      <c r="AR101" s="142">
        <v>50</v>
      </c>
      <c r="AS101" s="107">
        <f>+AR101*20</f>
        <v>1000</v>
      </c>
    </row>
    <row r="102" spans="31:45" x14ac:dyDescent="0.3">
      <c r="AM102" s="34" t="s">
        <v>217</v>
      </c>
      <c r="AN102" s="143">
        <v>50</v>
      </c>
      <c r="AO102" s="110"/>
      <c r="AP102" s="110"/>
      <c r="AQ102" s="111">
        <f>+AN102*20</f>
        <v>1000</v>
      </c>
      <c r="AR102" s="143">
        <v>50</v>
      </c>
      <c r="AS102" s="35">
        <f>+AR102*20</f>
        <v>1000</v>
      </c>
    </row>
    <row r="103" spans="31:45" x14ac:dyDescent="0.3">
      <c r="AM103" s="34" t="s">
        <v>216</v>
      </c>
      <c r="AN103" s="144">
        <v>50</v>
      </c>
      <c r="AO103" s="112"/>
      <c r="AP103" s="112"/>
      <c r="AQ103" s="113">
        <f>+AN103*20</f>
        <v>1000</v>
      </c>
      <c r="AR103" s="144">
        <v>50</v>
      </c>
      <c r="AS103" s="114">
        <f>+AR103*20</f>
        <v>1000</v>
      </c>
    </row>
    <row r="104" spans="31:45" ht="16.2" thickBot="1" x14ac:dyDescent="0.35">
      <c r="AM104" s="36"/>
      <c r="AN104" s="37"/>
      <c r="AO104" s="37"/>
      <c r="AP104" s="37"/>
      <c r="AQ104" s="37">
        <f>SUM(AQ101:AQ103)/1000</f>
        <v>3</v>
      </c>
      <c r="AR104" s="37">
        <f>SUM(AR101:AR103)/1000</f>
        <v>0.15</v>
      </c>
      <c r="AS104" s="38">
        <f>SUM(AS101:AS103)/1000</f>
        <v>3</v>
      </c>
    </row>
  </sheetData>
  <autoFilter ref="A2:V84" xr:uid="{E44A57F9-D72E-EB45-BB5F-5073AB3A66DE}"/>
  <mergeCells count="15">
    <mergeCell ref="AI1:AJ1"/>
    <mergeCell ref="I1:J1"/>
    <mergeCell ref="K1:L1"/>
    <mergeCell ref="G1:H1"/>
    <mergeCell ref="M1:N1"/>
    <mergeCell ref="O1:P1"/>
    <mergeCell ref="AG1:AH1"/>
    <mergeCell ref="AA1:AB1"/>
    <mergeCell ref="AC1:AD1"/>
    <mergeCell ref="AE1:AF1"/>
    <mergeCell ref="Q1:R1"/>
    <mergeCell ref="S1:T1"/>
    <mergeCell ref="U1:V1"/>
    <mergeCell ref="W1:X1"/>
    <mergeCell ref="Y1:Z1"/>
  </mergeCells>
  <phoneticPr fontId="6" type="noConversion"/>
  <pageMargins left="0.25" right="0.25" top="0.75" bottom="0.75" header="0.3" footer="0.3"/>
  <pageSetup paperSize="9" scale="5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CDEA-AD97-EB44-B680-9F9F45047EF2}">
  <sheetPr>
    <pageSetUpPr fitToPage="1"/>
  </sheetPr>
  <dimension ref="A1:AL76"/>
  <sheetViews>
    <sheetView zoomScale="79" zoomScaleNormal="79" workbookViewId="0">
      <selection activeCell="AH15" sqref="AH15"/>
    </sheetView>
  </sheetViews>
  <sheetFormatPr defaultColWidth="10.5" defaultRowHeight="15.6" outlineLevelCol="1" x14ac:dyDescent="0.3"/>
  <cols>
    <col min="1" max="1" width="42.69921875" bestFit="1" customWidth="1"/>
    <col min="5" max="5" width="13" customWidth="1"/>
    <col min="6" max="14" width="0" hidden="1" customWidth="1" outlineLevel="1"/>
    <col min="15" max="15" width="12.19921875" hidden="1" customWidth="1" outlineLevel="1"/>
    <col min="16" max="16" width="0" hidden="1" customWidth="1" outlineLevel="1"/>
    <col min="17" max="17" width="12.19921875" hidden="1" customWidth="1" outlineLevel="1"/>
    <col min="18" max="18" width="0" hidden="1" customWidth="1" outlineLevel="1"/>
    <col min="19" max="19" width="11.19921875" hidden="1" customWidth="1" outlineLevel="1"/>
    <col min="20" max="20" width="0" hidden="1" customWidth="1" outlineLevel="1"/>
    <col min="21" max="21" width="12.69921875" hidden="1" customWidth="1" outlineLevel="1"/>
    <col min="22" max="22" width="0" hidden="1" customWidth="1" outlineLevel="1"/>
    <col min="23" max="27" width="12" hidden="1" customWidth="1" outlineLevel="1"/>
    <col min="28" max="28" width="0" hidden="1" customWidth="1" outlineLevel="1"/>
    <col min="29" max="29" width="12.19921875" hidden="1" customWidth="1" outlineLevel="1"/>
    <col min="30" max="30" width="10.5" collapsed="1"/>
    <col min="31" max="31" width="13.19921875" bestFit="1" customWidth="1"/>
    <col min="32" max="33" width="13.19921875" customWidth="1"/>
    <col min="35" max="35" width="14.19921875" bestFit="1" customWidth="1"/>
  </cols>
  <sheetData>
    <row r="1" spans="1:38" ht="16.2" thickBot="1" x14ac:dyDescent="0.35">
      <c r="A1" s="1" t="s">
        <v>94</v>
      </c>
      <c r="F1" s="240">
        <v>45838</v>
      </c>
      <c r="G1" s="239"/>
      <c r="H1" s="67"/>
      <c r="I1" s="67"/>
      <c r="J1" s="238">
        <v>45901</v>
      </c>
      <c r="K1" s="239"/>
      <c r="L1" s="238">
        <v>45931</v>
      </c>
      <c r="M1" s="238"/>
      <c r="N1" s="79">
        <v>45962</v>
      </c>
      <c r="O1" s="80"/>
      <c r="P1" s="79">
        <v>45992</v>
      </c>
      <c r="Q1" s="87"/>
      <c r="R1" s="88">
        <v>45662</v>
      </c>
      <c r="S1" s="89"/>
      <c r="T1" s="89">
        <v>46056</v>
      </c>
      <c r="U1" s="89"/>
      <c r="V1" s="90">
        <v>46083</v>
      </c>
      <c r="W1" s="115"/>
      <c r="X1" s="115">
        <v>46113</v>
      </c>
      <c r="Y1" s="115"/>
      <c r="Z1" s="115">
        <v>46143</v>
      </c>
      <c r="AA1" s="115"/>
      <c r="AB1" s="115">
        <v>46175</v>
      </c>
      <c r="AC1" s="115"/>
      <c r="AD1" s="241">
        <v>46203</v>
      </c>
      <c r="AE1" s="242"/>
      <c r="AF1" s="115" t="s">
        <v>287</v>
      </c>
      <c r="AG1" s="115"/>
      <c r="AH1" s="241" t="s">
        <v>288</v>
      </c>
      <c r="AI1" s="242"/>
    </row>
    <row r="2" spans="1:38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138</v>
      </c>
      <c r="F2" s="55" t="s">
        <v>106</v>
      </c>
      <c r="G2" s="55" t="s">
        <v>63</v>
      </c>
      <c r="H2" s="55" t="s">
        <v>106</v>
      </c>
      <c r="I2" s="55" t="s">
        <v>63</v>
      </c>
      <c r="J2" s="55" t="s">
        <v>106</v>
      </c>
      <c r="K2" s="55" t="s">
        <v>63</v>
      </c>
      <c r="L2" s="55" t="s">
        <v>106</v>
      </c>
      <c r="M2" s="76" t="s">
        <v>63</v>
      </c>
      <c r="N2" s="55" t="s">
        <v>106</v>
      </c>
      <c r="O2" s="55" t="s">
        <v>63</v>
      </c>
      <c r="P2" s="55"/>
      <c r="Q2" s="55" t="s">
        <v>63</v>
      </c>
      <c r="R2" s="55"/>
      <c r="S2" s="55" t="s">
        <v>63</v>
      </c>
      <c r="T2" s="55"/>
      <c r="U2" s="55"/>
      <c r="V2" s="55"/>
      <c r="W2" s="55" t="s">
        <v>63</v>
      </c>
      <c r="X2" s="55"/>
      <c r="Y2" s="55"/>
      <c r="Z2" s="55"/>
      <c r="AA2" s="55"/>
      <c r="AB2" s="55"/>
      <c r="AC2" s="55"/>
      <c r="AD2" s="55"/>
      <c r="AE2" s="55" t="s">
        <v>63</v>
      </c>
      <c r="AF2" s="55"/>
      <c r="AG2" s="55"/>
      <c r="AH2" s="55"/>
      <c r="AI2" s="55" t="s">
        <v>63</v>
      </c>
    </row>
    <row r="3" spans="1:38" x14ac:dyDescent="0.3">
      <c r="A3" s="3" t="s">
        <v>32</v>
      </c>
      <c r="B3" s="4" t="s">
        <v>4</v>
      </c>
      <c r="C3" s="4" t="s">
        <v>5</v>
      </c>
      <c r="D3" s="5" t="s">
        <v>6</v>
      </c>
      <c r="E3" s="160">
        <v>890</v>
      </c>
      <c r="F3" s="58">
        <v>1.5</v>
      </c>
      <c r="G3" s="57">
        <f t="shared" ref="G3:G33" si="0">E3*F3</f>
        <v>1335</v>
      </c>
      <c r="H3" s="69">
        <v>1.5</v>
      </c>
      <c r="I3" s="57">
        <v>1335</v>
      </c>
      <c r="J3" s="73">
        <v>5</v>
      </c>
      <c r="K3" s="57">
        <f>SUM(J3*E3)</f>
        <v>4450</v>
      </c>
      <c r="L3" s="69">
        <v>0</v>
      </c>
      <c r="M3" s="57">
        <f>L3*E3</f>
        <v>0</v>
      </c>
      <c r="N3" s="69">
        <v>2</v>
      </c>
      <c r="O3" s="77">
        <f>E3*N3</f>
        <v>1780</v>
      </c>
      <c r="P3" s="69">
        <v>15</v>
      </c>
      <c r="Q3" s="83">
        <v>13350</v>
      </c>
      <c r="R3" s="69">
        <v>5</v>
      </c>
      <c r="S3" s="77">
        <f>SUM(R3)*E3</f>
        <v>4450</v>
      </c>
      <c r="T3" s="69">
        <v>25</v>
      </c>
      <c r="U3" s="77">
        <f>SUM(T3*E3)</f>
        <v>22250</v>
      </c>
      <c r="V3" s="69">
        <v>7</v>
      </c>
      <c r="W3" s="116">
        <v>6230</v>
      </c>
      <c r="X3" s="69">
        <v>13.5</v>
      </c>
      <c r="Y3" s="116">
        <f>SUM(X3*E3)</f>
        <v>12015</v>
      </c>
      <c r="Z3" s="69">
        <v>0</v>
      </c>
      <c r="AA3" s="116">
        <v>0</v>
      </c>
      <c r="AB3" s="69">
        <v>12.5</v>
      </c>
      <c r="AC3" s="77">
        <f>SUM(AB3*E3)</f>
        <v>11125</v>
      </c>
      <c r="AD3" s="69">
        <v>15.5</v>
      </c>
      <c r="AE3" s="70">
        <f>SUM(AD3*E3)</f>
        <v>13795</v>
      </c>
      <c r="AF3" s="83">
        <v>15.462999999999999</v>
      </c>
      <c r="AG3" s="70">
        <v>13761.63</v>
      </c>
      <c r="AH3" s="224">
        <f>'Clonmel Trucks &amp; Yard'!F3/1000</f>
        <v>227.6875</v>
      </c>
      <c r="AI3" s="189">
        <f>AH3*E3</f>
        <v>202641.875</v>
      </c>
      <c r="AL3" s="71"/>
    </row>
    <row r="4" spans="1:38" x14ac:dyDescent="0.3">
      <c r="A4" s="3" t="s">
        <v>33</v>
      </c>
      <c r="B4" s="4" t="s">
        <v>4</v>
      </c>
      <c r="C4" s="4" t="s">
        <v>5</v>
      </c>
      <c r="D4" s="5" t="s">
        <v>6</v>
      </c>
      <c r="E4" s="160">
        <v>930</v>
      </c>
      <c r="F4" s="58">
        <v>14</v>
      </c>
      <c r="G4" s="57">
        <f t="shared" si="0"/>
        <v>13020</v>
      </c>
      <c r="H4" s="69">
        <v>6</v>
      </c>
      <c r="I4" s="57">
        <v>5580</v>
      </c>
      <c r="J4" s="73">
        <v>5</v>
      </c>
      <c r="K4" s="57">
        <f t="shared" ref="K4:K64" si="1">SUM(J4*E4)</f>
        <v>4650</v>
      </c>
      <c r="L4" s="69">
        <v>9</v>
      </c>
      <c r="M4" s="57">
        <f t="shared" ref="M4:M64" si="2">L4*E4</f>
        <v>8370</v>
      </c>
      <c r="N4" s="69">
        <v>6</v>
      </c>
      <c r="O4" s="77">
        <f t="shared" ref="O4:O64" si="3">E4*N4</f>
        <v>5580</v>
      </c>
      <c r="P4" s="69">
        <v>5</v>
      </c>
      <c r="Q4" s="83">
        <v>4650</v>
      </c>
      <c r="R4" s="69">
        <v>14</v>
      </c>
      <c r="S4" s="77">
        <f t="shared" ref="S4:S66" si="4">SUM(R4)*E4</f>
        <v>13020</v>
      </c>
      <c r="T4" s="69">
        <v>16</v>
      </c>
      <c r="U4" s="77">
        <f t="shared" ref="U4:U66" si="5">SUM(T4*E4)</f>
        <v>14880</v>
      </c>
      <c r="V4" s="69">
        <v>13</v>
      </c>
      <c r="W4" s="116">
        <v>12090</v>
      </c>
      <c r="X4" s="69">
        <v>17</v>
      </c>
      <c r="Y4" s="116">
        <f t="shared" ref="Y4:Y66" si="6">SUM(X4*E4)</f>
        <v>15810</v>
      </c>
      <c r="Z4" s="69">
        <v>2</v>
      </c>
      <c r="AA4" s="116">
        <v>1860</v>
      </c>
      <c r="AB4" s="69">
        <v>8</v>
      </c>
      <c r="AC4" s="77">
        <f t="shared" ref="AC4:AC66" si="7">SUM(AB4*E4)</f>
        <v>7440</v>
      </c>
      <c r="AD4" s="69">
        <v>7</v>
      </c>
      <c r="AE4" s="70">
        <f t="shared" ref="AE4:AE70" si="8">SUM(AD4*E4)</f>
        <v>6510</v>
      </c>
      <c r="AF4" s="193">
        <v>13.289</v>
      </c>
      <c r="AG4" s="70">
        <v>12357.37</v>
      </c>
      <c r="AH4" s="225">
        <f>'Clonmel Trucks &amp; Yard'!J3/1000</f>
        <v>115.2</v>
      </c>
      <c r="AI4" s="189">
        <f>AH4*E4</f>
        <v>107136</v>
      </c>
      <c r="AL4" s="71"/>
    </row>
    <row r="5" spans="1:38" x14ac:dyDescent="0.3">
      <c r="A5" s="3" t="s">
        <v>34</v>
      </c>
      <c r="B5" s="4" t="s">
        <v>4</v>
      </c>
      <c r="C5" s="4" t="s">
        <v>5</v>
      </c>
      <c r="D5" s="5" t="s">
        <v>6</v>
      </c>
      <c r="E5" s="160">
        <v>650</v>
      </c>
      <c r="F5" s="58"/>
      <c r="G5" s="57">
        <f t="shared" si="0"/>
        <v>0</v>
      </c>
      <c r="H5" s="69">
        <v>0</v>
      </c>
      <c r="I5" s="57">
        <v>0</v>
      </c>
      <c r="J5" s="73">
        <v>0</v>
      </c>
      <c r="K5" s="57">
        <f t="shared" si="1"/>
        <v>0</v>
      </c>
      <c r="L5" s="69">
        <v>0</v>
      </c>
      <c r="M5" s="57">
        <f t="shared" si="2"/>
        <v>0</v>
      </c>
      <c r="N5" s="69"/>
      <c r="O5" s="77">
        <f t="shared" si="3"/>
        <v>0</v>
      </c>
      <c r="P5" s="69">
        <v>0</v>
      </c>
      <c r="Q5" s="83">
        <v>0</v>
      </c>
      <c r="R5" s="69">
        <v>0</v>
      </c>
      <c r="S5" s="77">
        <f t="shared" si="4"/>
        <v>0</v>
      </c>
      <c r="T5" s="69">
        <v>0</v>
      </c>
      <c r="U5" s="77">
        <f t="shared" si="5"/>
        <v>0</v>
      </c>
      <c r="V5" s="69">
        <v>0</v>
      </c>
      <c r="W5" s="116">
        <v>0</v>
      </c>
      <c r="X5" s="69">
        <v>0</v>
      </c>
      <c r="Y5" s="116">
        <f t="shared" si="6"/>
        <v>0</v>
      </c>
      <c r="Z5" s="69">
        <v>0</v>
      </c>
      <c r="AA5" s="116">
        <v>0</v>
      </c>
      <c r="AB5" s="69">
        <v>0</v>
      </c>
      <c r="AC5" s="77">
        <f t="shared" si="7"/>
        <v>0</v>
      </c>
      <c r="AD5" s="69">
        <v>0</v>
      </c>
      <c r="AE5" s="70">
        <f t="shared" si="8"/>
        <v>0</v>
      </c>
      <c r="AF5" s="69">
        <v>0</v>
      </c>
      <c r="AG5" s="70">
        <v>0</v>
      </c>
      <c r="AH5" s="69">
        <v>0</v>
      </c>
      <c r="AI5" s="189">
        <f t="shared" ref="AI5:AI68" si="9">AH5*E5</f>
        <v>0</v>
      </c>
      <c r="AL5" s="71"/>
    </row>
    <row r="6" spans="1:38" x14ac:dyDescent="0.3">
      <c r="A6" s="3" t="s">
        <v>35</v>
      </c>
      <c r="B6" s="4" t="s">
        <v>4</v>
      </c>
      <c r="C6" s="4" t="s">
        <v>5</v>
      </c>
      <c r="D6" s="5" t="s">
        <v>6</v>
      </c>
      <c r="E6" s="160">
        <v>1210</v>
      </c>
      <c r="F6" s="58"/>
      <c r="G6" s="57">
        <f t="shared" si="0"/>
        <v>0</v>
      </c>
      <c r="H6" s="69">
        <v>0</v>
      </c>
      <c r="I6" s="57">
        <v>0</v>
      </c>
      <c r="J6" s="73">
        <v>0</v>
      </c>
      <c r="K6" s="57">
        <f t="shared" si="1"/>
        <v>0</v>
      </c>
      <c r="L6" s="69">
        <v>0</v>
      </c>
      <c r="M6" s="57">
        <f t="shared" si="2"/>
        <v>0</v>
      </c>
      <c r="N6" s="69"/>
      <c r="O6" s="77">
        <f t="shared" si="3"/>
        <v>0</v>
      </c>
      <c r="P6" s="69">
        <v>0</v>
      </c>
      <c r="Q6" s="83">
        <v>0</v>
      </c>
      <c r="R6" s="69">
        <v>0</v>
      </c>
      <c r="S6" s="77">
        <f t="shared" si="4"/>
        <v>0</v>
      </c>
      <c r="T6" s="69">
        <v>2</v>
      </c>
      <c r="U6" s="77">
        <f t="shared" si="5"/>
        <v>2420</v>
      </c>
      <c r="V6" s="69">
        <v>2</v>
      </c>
      <c r="W6" s="116">
        <v>2420</v>
      </c>
      <c r="X6" s="69">
        <v>1</v>
      </c>
      <c r="Y6" s="116">
        <f t="shared" si="6"/>
        <v>1210</v>
      </c>
      <c r="Z6" s="69">
        <v>0</v>
      </c>
      <c r="AA6" s="116">
        <v>0</v>
      </c>
      <c r="AB6" s="69">
        <v>3</v>
      </c>
      <c r="AC6" s="77">
        <f t="shared" si="7"/>
        <v>3630</v>
      </c>
      <c r="AD6" s="69">
        <v>2.5</v>
      </c>
      <c r="AE6" s="70">
        <f t="shared" si="8"/>
        <v>3025</v>
      </c>
      <c r="AF6" s="192">
        <v>1</v>
      </c>
      <c r="AG6" s="70">
        <v>1210</v>
      </c>
      <c r="AH6" s="229">
        <f>'Clonmel Trucks &amp; Yard'!M20/1000</f>
        <v>2</v>
      </c>
      <c r="AI6" s="189">
        <f t="shared" si="9"/>
        <v>2420</v>
      </c>
      <c r="AL6" s="71"/>
    </row>
    <row r="7" spans="1:38" x14ac:dyDescent="0.3">
      <c r="A7" s="3" t="s">
        <v>36</v>
      </c>
      <c r="B7" s="4" t="s">
        <v>4</v>
      </c>
      <c r="C7" s="4" t="s">
        <v>5</v>
      </c>
      <c r="D7" s="5" t="s">
        <v>6</v>
      </c>
      <c r="E7" s="160">
        <v>1245</v>
      </c>
      <c r="F7" s="58"/>
      <c r="G7" s="57">
        <f t="shared" si="0"/>
        <v>0</v>
      </c>
      <c r="H7" s="69">
        <v>0</v>
      </c>
      <c r="I7" s="57">
        <v>0</v>
      </c>
      <c r="J7" s="73">
        <v>0</v>
      </c>
      <c r="K7" s="57">
        <f t="shared" si="1"/>
        <v>0</v>
      </c>
      <c r="L7" s="69">
        <v>0</v>
      </c>
      <c r="M7" s="57">
        <f t="shared" si="2"/>
        <v>0</v>
      </c>
      <c r="N7" s="69"/>
      <c r="O7" s="77">
        <f t="shared" si="3"/>
        <v>0</v>
      </c>
      <c r="P7" s="69">
        <v>0</v>
      </c>
      <c r="Q7" s="83">
        <v>0</v>
      </c>
      <c r="R7" s="69">
        <v>0</v>
      </c>
      <c r="S7" s="77">
        <f t="shared" si="4"/>
        <v>0</v>
      </c>
      <c r="T7" s="69">
        <v>0</v>
      </c>
      <c r="U7" s="77">
        <f t="shared" si="5"/>
        <v>0</v>
      </c>
      <c r="V7" s="69">
        <v>0</v>
      </c>
      <c r="W7" s="116">
        <v>0</v>
      </c>
      <c r="X7" s="69">
        <v>0</v>
      </c>
      <c r="Y7" s="116">
        <f t="shared" si="6"/>
        <v>0</v>
      </c>
      <c r="Z7" s="69">
        <v>0</v>
      </c>
      <c r="AA7" s="116">
        <v>0</v>
      </c>
      <c r="AB7" s="69">
        <v>0</v>
      </c>
      <c r="AC7" s="77">
        <f t="shared" si="7"/>
        <v>0</v>
      </c>
      <c r="AD7" s="69">
        <v>0</v>
      </c>
      <c r="AE7" s="70">
        <f t="shared" si="8"/>
        <v>0</v>
      </c>
      <c r="AF7" s="69"/>
      <c r="AG7" s="70">
        <v>0</v>
      </c>
      <c r="AH7" s="69"/>
      <c r="AI7" s="189">
        <f t="shared" si="9"/>
        <v>0</v>
      </c>
      <c r="AL7" s="71"/>
    </row>
    <row r="8" spans="1:38" x14ac:dyDescent="0.3">
      <c r="A8" s="3" t="s">
        <v>37</v>
      </c>
      <c r="B8" s="4" t="s">
        <v>4</v>
      </c>
      <c r="C8" s="4" t="s">
        <v>5</v>
      </c>
      <c r="D8" s="5" t="s">
        <v>6</v>
      </c>
      <c r="E8" s="160">
        <v>1250</v>
      </c>
      <c r="F8" s="58"/>
      <c r="G8" s="57">
        <f t="shared" si="0"/>
        <v>0</v>
      </c>
      <c r="H8" s="69">
        <v>0</v>
      </c>
      <c r="I8" s="57">
        <v>0</v>
      </c>
      <c r="J8" s="73">
        <v>0</v>
      </c>
      <c r="K8" s="57">
        <f t="shared" si="1"/>
        <v>0</v>
      </c>
      <c r="L8" s="69">
        <v>0</v>
      </c>
      <c r="M8" s="57">
        <f t="shared" si="2"/>
        <v>0</v>
      </c>
      <c r="N8" s="69"/>
      <c r="O8" s="77">
        <f t="shared" si="3"/>
        <v>0</v>
      </c>
      <c r="P8" s="69">
        <v>0</v>
      </c>
      <c r="Q8" s="83">
        <v>0</v>
      </c>
      <c r="R8" s="69">
        <v>0</v>
      </c>
      <c r="S8" s="77">
        <f t="shared" si="4"/>
        <v>0</v>
      </c>
      <c r="T8" s="69">
        <v>0</v>
      </c>
      <c r="U8" s="77">
        <f t="shared" si="5"/>
        <v>0</v>
      </c>
      <c r="V8" s="69">
        <v>0</v>
      </c>
      <c r="W8" s="116">
        <v>0</v>
      </c>
      <c r="X8" s="69">
        <v>0</v>
      </c>
      <c r="Y8" s="116">
        <f t="shared" si="6"/>
        <v>0</v>
      </c>
      <c r="Z8" s="69">
        <v>0</v>
      </c>
      <c r="AA8" s="116">
        <v>0</v>
      </c>
      <c r="AB8" s="69">
        <v>0</v>
      </c>
      <c r="AC8" s="77">
        <f t="shared" si="7"/>
        <v>0</v>
      </c>
      <c r="AD8" s="69">
        <v>0</v>
      </c>
      <c r="AE8" s="70">
        <f t="shared" si="8"/>
        <v>0</v>
      </c>
      <c r="AF8" s="69"/>
      <c r="AG8" s="70">
        <v>0</v>
      </c>
      <c r="AH8" s="69"/>
      <c r="AI8" s="189">
        <f t="shared" si="9"/>
        <v>0</v>
      </c>
      <c r="AL8" s="71"/>
    </row>
    <row r="9" spans="1:38" x14ac:dyDescent="0.3">
      <c r="A9" s="3" t="s">
        <v>64</v>
      </c>
      <c r="B9" s="4" t="s">
        <v>38</v>
      </c>
      <c r="C9" s="4" t="s">
        <v>5</v>
      </c>
      <c r="D9" s="5" t="s">
        <v>6</v>
      </c>
      <c r="E9" s="160">
        <v>890</v>
      </c>
      <c r="F9" s="58">
        <v>15.25</v>
      </c>
      <c r="G9" s="57">
        <f t="shared" si="0"/>
        <v>13572.5</v>
      </c>
      <c r="H9" s="69">
        <v>24.5</v>
      </c>
      <c r="I9" s="57">
        <v>21805</v>
      </c>
      <c r="J9" s="73">
        <v>18</v>
      </c>
      <c r="K9" s="57">
        <f t="shared" si="1"/>
        <v>16020</v>
      </c>
      <c r="L9" s="69">
        <v>22</v>
      </c>
      <c r="M9" s="57">
        <f t="shared" si="2"/>
        <v>19580</v>
      </c>
      <c r="N9" s="69">
        <v>14.5</v>
      </c>
      <c r="O9" s="77">
        <f t="shared" si="3"/>
        <v>12905</v>
      </c>
      <c r="P9" s="69">
        <v>3</v>
      </c>
      <c r="Q9" s="83">
        <v>2670</v>
      </c>
      <c r="R9" s="69">
        <v>0</v>
      </c>
      <c r="S9" s="77">
        <f t="shared" si="4"/>
        <v>0</v>
      </c>
      <c r="T9" s="69">
        <v>0</v>
      </c>
      <c r="U9" s="77">
        <f t="shared" si="5"/>
        <v>0</v>
      </c>
      <c r="V9" s="69">
        <v>0</v>
      </c>
      <c r="W9" s="116">
        <v>0</v>
      </c>
      <c r="X9" s="69">
        <v>0</v>
      </c>
      <c r="Y9" s="116">
        <f t="shared" si="6"/>
        <v>0</v>
      </c>
      <c r="Z9" s="69">
        <v>12.5</v>
      </c>
      <c r="AA9" s="116">
        <v>11125</v>
      </c>
      <c r="AB9" s="69">
        <v>13.5</v>
      </c>
      <c r="AC9" s="77">
        <f t="shared" si="7"/>
        <v>12015</v>
      </c>
      <c r="AD9" s="69">
        <v>6</v>
      </c>
      <c r="AE9" s="70">
        <f t="shared" si="8"/>
        <v>5340</v>
      </c>
      <c r="AF9" s="194">
        <v>1</v>
      </c>
      <c r="AG9" s="70">
        <v>890</v>
      </c>
      <c r="AH9" s="227">
        <f>'Clonmel Trucks &amp; Yard'!M18/1000</f>
        <v>2.5</v>
      </c>
      <c r="AI9" s="189">
        <f t="shared" si="9"/>
        <v>2225</v>
      </c>
      <c r="AL9" s="71"/>
    </row>
    <row r="10" spans="1:38" x14ac:dyDescent="0.3">
      <c r="A10" s="3" t="s">
        <v>65</v>
      </c>
      <c r="B10" s="4" t="s">
        <v>38</v>
      </c>
      <c r="C10" s="4" t="s">
        <v>5</v>
      </c>
      <c r="D10" s="5" t="s">
        <v>6</v>
      </c>
      <c r="E10" s="160">
        <v>915</v>
      </c>
      <c r="F10" s="58">
        <v>17.75</v>
      </c>
      <c r="G10" s="57">
        <f t="shared" si="0"/>
        <v>16241.25</v>
      </c>
      <c r="H10" s="69">
        <v>24</v>
      </c>
      <c r="I10" s="57">
        <v>21960</v>
      </c>
      <c r="J10" s="73">
        <v>10.5</v>
      </c>
      <c r="K10" s="57">
        <f t="shared" si="1"/>
        <v>9607.5</v>
      </c>
      <c r="L10" s="69">
        <v>13.5</v>
      </c>
      <c r="M10" s="57">
        <f t="shared" si="2"/>
        <v>12352.5</v>
      </c>
      <c r="N10" s="69">
        <v>13.5</v>
      </c>
      <c r="O10" s="77">
        <f t="shared" si="3"/>
        <v>12352.5</v>
      </c>
      <c r="P10" s="69">
        <v>12</v>
      </c>
      <c r="Q10" s="83">
        <v>10980</v>
      </c>
      <c r="R10" s="69">
        <v>0</v>
      </c>
      <c r="S10" s="77">
        <f t="shared" si="4"/>
        <v>0</v>
      </c>
      <c r="T10" s="69">
        <v>0</v>
      </c>
      <c r="U10" s="77">
        <f t="shared" si="5"/>
        <v>0</v>
      </c>
      <c r="V10" s="69">
        <v>0</v>
      </c>
      <c r="W10" s="116">
        <v>0</v>
      </c>
      <c r="X10" s="69">
        <v>0</v>
      </c>
      <c r="Y10" s="116">
        <f t="shared" si="6"/>
        <v>0</v>
      </c>
      <c r="Z10" s="69">
        <v>6</v>
      </c>
      <c r="AA10" s="116">
        <v>5490</v>
      </c>
      <c r="AB10" s="69">
        <v>9</v>
      </c>
      <c r="AC10" s="77">
        <f t="shared" si="7"/>
        <v>8235</v>
      </c>
      <c r="AD10" s="69">
        <v>11.5</v>
      </c>
      <c r="AE10" s="70">
        <f t="shared" si="8"/>
        <v>10522.5</v>
      </c>
      <c r="AF10" s="69">
        <v>1.5</v>
      </c>
      <c r="AG10" s="70">
        <v>1372.5</v>
      </c>
      <c r="AH10" s="228">
        <f>'Clonmel Trucks &amp; Yard'!M19/1000</f>
        <v>2.5</v>
      </c>
      <c r="AI10" s="189">
        <f t="shared" si="9"/>
        <v>2287.5</v>
      </c>
      <c r="AL10" s="71"/>
    </row>
    <row r="11" spans="1:38" x14ac:dyDescent="0.3">
      <c r="A11" s="3" t="s">
        <v>114</v>
      </c>
      <c r="B11" s="4" t="s">
        <v>38</v>
      </c>
      <c r="C11" s="4" t="s">
        <v>5</v>
      </c>
      <c r="D11" s="5" t="s">
        <v>6</v>
      </c>
      <c r="E11" s="160">
        <v>1495</v>
      </c>
      <c r="F11" s="58">
        <v>5</v>
      </c>
      <c r="G11" s="57">
        <f t="shared" si="0"/>
        <v>7475</v>
      </c>
      <c r="H11" s="69">
        <v>5</v>
      </c>
      <c r="I11" s="57">
        <v>7475</v>
      </c>
      <c r="J11" s="73">
        <v>5</v>
      </c>
      <c r="K11" s="57">
        <f t="shared" si="1"/>
        <v>7475</v>
      </c>
      <c r="L11" s="69">
        <v>5</v>
      </c>
      <c r="M11" s="57">
        <f t="shared" si="2"/>
        <v>7475</v>
      </c>
      <c r="N11" s="69">
        <v>5</v>
      </c>
      <c r="O11" s="77">
        <f t="shared" si="3"/>
        <v>7475</v>
      </c>
      <c r="P11" s="69">
        <v>5</v>
      </c>
      <c r="Q11" s="83">
        <v>7475</v>
      </c>
      <c r="R11" s="69">
        <v>5</v>
      </c>
      <c r="S11" s="77">
        <f t="shared" si="4"/>
        <v>7475</v>
      </c>
      <c r="T11" s="69">
        <v>5</v>
      </c>
      <c r="U11" s="77">
        <f t="shared" si="5"/>
        <v>7475</v>
      </c>
      <c r="V11" s="69">
        <v>5</v>
      </c>
      <c r="W11" s="116">
        <v>7475</v>
      </c>
      <c r="X11" s="69">
        <v>4.5</v>
      </c>
      <c r="Y11" s="116">
        <f t="shared" si="6"/>
        <v>6727.5</v>
      </c>
      <c r="Z11" s="69">
        <v>4.5</v>
      </c>
      <c r="AA11" s="116">
        <v>6727.5</v>
      </c>
      <c r="AB11" s="69">
        <v>1.5</v>
      </c>
      <c r="AC11" s="77">
        <f t="shared" si="7"/>
        <v>2242.5</v>
      </c>
      <c r="AD11" s="69">
        <v>2</v>
      </c>
      <c r="AE11" s="70">
        <f t="shared" si="8"/>
        <v>2990</v>
      </c>
      <c r="AF11" s="81">
        <v>1</v>
      </c>
      <c r="AG11" s="222">
        <v>1495</v>
      </c>
      <c r="AH11" s="81"/>
      <c r="AI11" s="223">
        <f t="shared" si="9"/>
        <v>0</v>
      </c>
      <c r="AJ11" s="190"/>
      <c r="AL11" s="71"/>
    </row>
    <row r="12" spans="1:38" x14ac:dyDescent="0.3">
      <c r="A12" s="3" t="s">
        <v>130</v>
      </c>
      <c r="B12" s="4" t="s">
        <v>38</v>
      </c>
      <c r="C12" s="4" t="s">
        <v>5</v>
      </c>
      <c r="D12" s="5" t="s">
        <v>6</v>
      </c>
      <c r="E12" s="160">
        <v>1185</v>
      </c>
      <c r="F12" s="58">
        <v>3</v>
      </c>
      <c r="G12" s="57">
        <f t="shared" si="0"/>
        <v>3555</v>
      </c>
      <c r="H12" s="69">
        <v>2</v>
      </c>
      <c r="I12" s="57">
        <v>2370</v>
      </c>
      <c r="J12" s="73">
        <v>2</v>
      </c>
      <c r="K12" s="57">
        <f t="shared" si="1"/>
        <v>2370</v>
      </c>
      <c r="L12" s="69">
        <v>4</v>
      </c>
      <c r="M12" s="57">
        <f t="shared" si="2"/>
        <v>4740</v>
      </c>
      <c r="N12" s="69">
        <v>4</v>
      </c>
      <c r="O12" s="77">
        <f t="shared" si="3"/>
        <v>4740</v>
      </c>
      <c r="P12" s="69">
        <v>3.25</v>
      </c>
      <c r="Q12" s="83">
        <v>3851.25</v>
      </c>
      <c r="R12" s="69">
        <v>3.25</v>
      </c>
      <c r="S12" s="77">
        <f t="shared" si="4"/>
        <v>3851.25</v>
      </c>
      <c r="T12" s="69">
        <v>3</v>
      </c>
      <c r="U12" s="77">
        <f t="shared" si="5"/>
        <v>3555</v>
      </c>
      <c r="V12" s="69">
        <v>3</v>
      </c>
      <c r="W12" s="116">
        <v>3555</v>
      </c>
      <c r="X12" s="69">
        <v>3</v>
      </c>
      <c r="Y12" s="116">
        <f t="shared" si="6"/>
        <v>3555</v>
      </c>
      <c r="Z12" s="69">
        <v>4</v>
      </c>
      <c r="AA12" s="116">
        <v>4740</v>
      </c>
      <c r="AB12" s="69">
        <v>3.25</v>
      </c>
      <c r="AC12" s="77">
        <f t="shared" si="7"/>
        <v>3851.25</v>
      </c>
      <c r="AD12" s="69">
        <v>3.25</v>
      </c>
      <c r="AE12" s="70">
        <f t="shared" si="8"/>
        <v>3851.25</v>
      </c>
      <c r="AF12" s="81">
        <v>1.1499999999999999</v>
      </c>
      <c r="AG12" s="222">
        <v>1362.75</v>
      </c>
      <c r="AH12" s="81"/>
      <c r="AI12" s="223">
        <f t="shared" si="9"/>
        <v>0</v>
      </c>
      <c r="AJ12" s="190"/>
      <c r="AL12" s="71"/>
    </row>
    <row r="13" spans="1:38" x14ac:dyDescent="0.3">
      <c r="A13" s="3" t="s">
        <v>131</v>
      </c>
      <c r="B13" s="4" t="s">
        <v>38</v>
      </c>
      <c r="C13" s="4" t="s">
        <v>5</v>
      </c>
      <c r="D13" s="5" t="s">
        <v>6</v>
      </c>
      <c r="E13" s="160">
        <v>1185</v>
      </c>
      <c r="F13" s="58">
        <v>3.5</v>
      </c>
      <c r="G13" s="57">
        <f t="shared" si="0"/>
        <v>4147.5</v>
      </c>
      <c r="H13" s="69">
        <v>3</v>
      </c>
      <c r="I13" s="57">
        <v>3555</v>
      </c>
      <c r="J13" s="73">
        <v>6</v>
      </c>
      <c r="K13" s="57">
        <f t="shared" si="1"/>
        <v>7110</v>
      </c>
      <c r="L13" s="69">
        <v>3</v>
      </c>
      <c r="M13" s="57">
        <f t="shared" si="2"/>
        <v>3555</v>
      </c>
      <c r="N13" s="69">
        <v>3</v>
      </c>
      <c r="O13" s="77">
        <f t="shared" si="3"/>
        <v>3555</v>
      </c>
      <c r="P13" s="69">
        <v>1.8</v>
      </c>
      <c r="Q13" s="83">
        <v>2133</v>
      </c>
      <c r="R13" s="69">
        <v>1.8</v>
      </c>
      <c r="S13" s="77">
        <f t="shared" si="4"/>
        <v>2133</v>
      </c>
      <c r="T13" s="69">
        <v>0</v>
      </c>
      <c r="U13" s="77">
        <f t="shared" si="5"/>
        <v>0</v>
      </c>
      <c r="V13" s="69">
        <v>0</v>
      </c>
      <c r="W13" s="116">
        <v>0</v>
      </c>
      <c r="X13" s="69">
        <v>1.5</v>
      </c>
      <c r="Y13" s="116">
        <f t="shared" si="6"/>
        <v>1777.5</v>
      </c>
      <c r="Z13" s="69">
        <v>3.5</v>
      </c>
      <c r="AA13" s="116">
        <v>4147.5</v>
      </c>
      <c r="AB13" s="69">
        <v>1</v>
      </c>
      <c r="AC13" s="77">
        <f t="shared" si="7"/>
        <v>1185</v>
      </c>
      <c r="AD13" s="69">
        <v>4.5</v>
      </c>
      <c r="AE13" s="70">
        <f t="shared" si="8"/>
        <v>5332.5</v>
      </c>
      <c r="AF13" s="81">
        <v>1.1499999999999999</v>
      </c>
      <c r="AG13" s="222">
        <v>1362.75</v>
      </c>
      <c r="AH13" s="81"/>
      <c r="AI13" s="223">
        <f t="shared" si="9"/>
        <v>0</v>
      </c>
      <c r="AJ13" s="190"/>
      <c r="AL13" s="71"/>
    </row>
    <row r="14" spans="1:38" x14ac:dyDescent="0.3">
      <c r="A14" s="3" t="s">
        <v>39</v>
      </c>
      <c r="B14" s="4" t="s">
        <v>4</v>
      </c>
      <c r="C14" s="11" t="s">
        <v>40</v>
      </c>
      <c r="D14" s="5" t="s">
        <v>6</v>
      </c>
      <c r="E14" s="160">
        <v>1390</v>
      </c>
      <c r="F14" s="58">
        <v>0.3</v>
      </c>
      <c r="G14" s="57">
        <f t="shared" si="0"/>
        <v>417</v>
      </c>
      <c r="H14" s="69">
        <v>1.1000000000000001</v>
      </c>
      <c r="I14" s="57">
        <v>1648.9</v>
      </c>
      <c r="J14" s="73">
        <v>2.1</v>
      </c>
      <c r="K14" s="57">
        <f t="shared" si="1"/>
        <v>2919</v>
      </c>
      <c r="L14" s="69">
        <v>1.8</v>
      </c>
      <c r="M14" s="57">
        <f t="shared" si="2"/>
        <v>2502</v>
      </c>
      <c r="N14" s="69">
        <v>1.4</v>
      </c>
      <c r="O14" s="77">
        <f t="shared" si="3"/>
        <v>1945.9999999999998</v>
      </c>
      <c r="P14" s="69">
        <v>1</v>
      </c>
      <c r="Q14" s="83">
        <v>1499</v>
      </c>
      <c r="R14" s="69">
        <v>1</v>
      </c>
      <c r="S14" s="77">
        <f t="shared" si="4"/>
        <v>1390</v>
      </c>
      <c r="T14" s="69">
        <v>1</v>
      </c>
      <c r="U14" s="77">
        <f t="shared" si="5"/>
        <v>1390</v>
      </c>
      <c r="V14" s="69">
        <v>1</v>
      </c>
      <c r="W14" s="116">
        <v>1499</v>
      </c>
      <c r="X14" s="69">
        <v>0.6</v>
      </c>
      <c r="Y14" s="116">
        <f t="shared" si="6"/>
        <v>834</v>
      </c>
      <c r="Z14" s="69">
        <v>0.25</v>
      </c>
      <c r="AA14" s="116">
        <v>374.75</v>
      </c>
      <c r="AB14" s="69">
        <v>0.6</v>
      </c>
      <c r="AC14" s="77">
        <f t="shared" si="7"/>
        <v>834</v>
      </c>
      <c r="AD14" s="69">
        <v>0.5</v>
      </c>
      <c r="AE14" s="70">
        <f t="shared" si="8"/>
        <v>695</v>
      </c>
      <c r="AF14" s="81">
        <v>0.2</v>
      </c>
      <c r="AG14" s="222">
        <v>278</v>
      </c>
      <c r="AH14" s="81"/>
      <c r="AI14" s="223">
        <f t="shared" si="9"/>
        <v>0</v>
      </c>
      <c r="AJ14" s="190"/>
      <c r="AL14" s="71"/>
    </row>
    <row r="15" spans="1:38" x14ac:dyDescent="0.3">
      <c r="A15" s="3" t="s">
        <v>40</v>
      </c>
      <c r="B15" s="4" t="s">
        <v>4</v>
      </c>
      <c r="C15" s="4" t="s">
        <v>40</v>
      </c>
      <c r="D15" s="5" t="s">
        <v>6</v>
      </c>
      <c r="E15" s="160">
        <v>790</v>
      </c>
      <c r="F15" s="58">
        <v>2</v>
      </c>
      <c r="G15" s="57">
        <f t="shared" si="0"/>
        <v>1580</v>
      </c>
      <c r="H15" s="69">
        <v>2.2000000000000002</v>
      </c>
      <c r="I15" s="57">
        <v>1980.0000000000002</v>
      </c>
      <c r="J15" s="73">
        <v>2</v>
      </c>
      <c r="K15" s="57">
        <f t="shared" si="1"/>
        <v>1580</v>
      </c>
      <c r="L15" s="69">
        <v>1.5</v>
      </c>
      <c r="M15" s="57">
        <f t="shared" si="2"/>
        <v>1185</v>
      </c>
      <c r="N15" s="69">
        <v>2</v>
      </c>
      <c r="O15" s="77">
        <f t="shared" si="3"/>
        <v>1580</v>
      </c>
      <c r="P15" s="69">
        <v>2</v>
      </c>
      <c r="Q15" s="83">
        <v>1800</v>
      </c>
      <c r="R15" s="69">
        <v>1.8</v>
      </c>
      <c r="S15" s="77">
        <f t="shared" si="4"/>
        <v>1422</v>
      </c>
      <c r="T15" s="69">
        <v>2</v>
      </c>
      <c r="U15" s="77">
        <f t="shared" si="5"/>
        <v>1580</v>
      </c>
      <c r="V15" s="69">
        <v>2</v>
      </c>
      <c r="W15" s="116">
        <v>1800</v>
      </c>
      <c r="X15" s="69">
        <v>1</v>
      </c>
      <c r="Y15" s="116">
        <f t="shared" si="6"/>
        <v>790</v>
      </c>
      <c r="Z15" s="69">
        <v>1</v>
      </c>
      <c r="AA15" s="116">
        <v>900</v>
      </c>
      <c r="AB15" s="69">
        <v>2.25</v>
      </c>
      <c r="AC15" s="77">
        <f t="shared" si="7"/>
        <v>1777.5</v>
      </c>
      <c r="AD15" s="69">
        <v>2</v>
      </c>
      <c r="AE15" s="70">
        <f t="shared" si="8"/>
        <v>1580</v>
      </c>
      <c r="AF15" s="81">
        <v>0.6</v>
      </c>
      <c r="AG15" s="222">
        <v>474</v>
      </c>
      <c r="AH15" s="226">
        <f>+'Clonmel Trucks &amp; Yard'!M3/1000</f>
        <v>2</v>
      </c>
      <c r="AI15" s="223">
        <f t="shared" si="9"/>
        <v>1580</v>
      </c>
      <c r="AL15" s="71"/>
    </row>
    <row r="16" spans="1:38" x14ac:dyDescent="0.3">
      <c r="A16" s="3" t="s">
        <v>41</v>
      </c>
      <c r="B16" s="4" t="s">
        <v>4</v>
      </c>
      <c r="C16" s="4" t="s">
        <v>42</v>
      </c>
      <c r="D16" s="5" t="s">
        <v>6</v>
      </c>
      <c r="E16" s="160">
        <v>755</v>
      </c>
      <c r="F16" s="58">
        <v>2.2000000000000002</v>
      </c>
      <c r="G16" s="57">
        <f t="shared" si="0"/>
        <v>1661.0000000000002</v>
      </c>
      <c r="H16" s="69">
        <v>1.25</v>
      </c>
      <c r="I16" s="57">
        <v>793.75</v>
      </c>
      <c r="J16" s="73">
        <v>1</v>
      </c>
      <c r="K16" s="57">
        <f t="shared" si="1"/>
        <v>755</v>
      </c>
      <c r="L16" s="69">
        <v>2.5</v>
      </c>
      <c r="M16" s="57">
        <f t="shared" si="2"/>
        <v>1887.5</v>
      </c>
      <c r="N16" s="69">
        <v>2.4</v>
      </c>
      <c r="O16" s="77">
        <f t="shared" si="3"/>
        <v>1812</v>
      </c>
      <c r="P16" s="69">
        <v>1.2</v>
      </c>
      <c r="Q16" s="83">
        <v>762</v>
      </c>
      <c r="R16" s="69">
        <v>1.2</v>
      </c>
      <c r="S16" s="77">
        <f t="shared" si="4"/>
        <v>906</v>
      </c>
      <c r="T16" s="69">
        <v>0.75</v>
      </c>
      <c r="U16" s="77">
        <f t="shared" si="5"/>
        <v>566.25</v>
      </c>
      <c r="V16" s="69">
        <v>0.25</v>
      </c>
      <c r="W16" s="116">
        <v>158.75</v>
      </c>
      <c r="X16" s="69">
        <v>0.25</v>
      </c>
      <c r="Y16" s="116">
        <f t="shared" si="6"/>
        <v>188.75</v>
      </c>
      <c r="Z16" s="69">
        <v>0.25</v>
      </c>
      <c r="AA16" s="116">
        <v>158.75</v>
      </c>
      <c r="AB16" s="69">
        <v>0</v>
      </c>
      <c r="AC16" s="77">
        <f t="shared" si="7"/>
        <v>0</v>
      </c>
      <c r="AD16" s="69">
        <v>0</v>
      </c>
      <c r="AE16" s="70">
        <f t="shared" si="8"/>
        <v>0</v>
      </c>
      <c r="AF16" s="81">
        <v>0</v>
      </c>
      <c r="AG16" s="222">
        <v>0</v>
      </c>
      <c r="AH16" s="81"/>
      <c r="AI16" s="223">
        <f t="shared" si="9"/>
        <v>0</v>
      </c>
      <c r="AL16" s="71"/>
    </row>
    <row r="17" spans="1:38" x14ac:dyDescent="0.3">
      <c r="A17" s="7" t="s">
        <v>66</v>
      </c>
      <c r="B17" s="8" t="s">
        <v>4</v>
      </c>
      <c r="C17" s="8" t="s">
        <v>42</v>
      </c>
      <c r="D17" s="6" t="s">
        <v>6</v>
      </c>
      <c r="E17" s="160">
        <v>665</v>
      </c>
      <c r="F17" s="58">
        <v>2</v>
      </c>
      <c r="G17" s="57">
        <f t="shared" si="0"/>
        <v>1330</v>
      </c>
      <c r="H17" s="69">
        <v>2</v>
      </c>
      <c r="I17" s="57">
        <v>1330</v>
      </c>
      <c r="J17" s="73">
        <v>2</v>
      </c>
      <c r="K17" s="57">
        <f t="shared" si="1"/>
        <v>1330</v>
      </c>
      <c r="L17" s="69">
        <v>1.1000000000000001</v>
      </c>
      <c r="M17" s="57">
        <f t="shared" si="2"/>
        <v>731.50000000000011</v>
      </c>
      <c r="N17" s="69">
        <v>0.75</v>
      </c>
      <c r="O17" s="77">
        <f t="shared" si="3"/>
        <v>498.75</v>
      </c>
      <c r="P17" s="69">
        <v>1</v>
      </c>
      <c r="Q17" s="83">
        <v>665</v>
      </c>
      <c r="R17" s="69">
        <v>0</v>
      </c>
      <c r="S17" s="77">
        <f t="shared" si="4"/>
        <v>0</v>
      </c>
      <c r="T17" s="69">
        <v>0</v>
      </c>
      <c r="U17" s="77">
        <f t="shared" si="5"/>
        <v>0</v>
      </c>
      <c r="V17" s="69">
        <v>2</v>
      </c>
      <c r="W17" s="116">
        <v>1330</v>
      </c>
      <c r="X17" s="69">
        <v>1</v>
      </c>
      <c r="Y17" s="116">
        <f t="shared" si="6"/>
        <v>665</v>
      </c>
      <c r="Z17" s="69">
        <v>2.25</v>
      </c>
      <c r="AA17" s="116">
        <v>1496.25</v>
      </c>
      <c r="AB17" s="69">
        <v>0.5</v>
      </c>
      <c r="AC17" s="77">
        <f t="shared" si="7"/>
        <v>332.5</v>
      </c>
      <c r="AD17" s="69">
        <v>2.25</v>
      </c>
      <c r="AE17" s="70">
        <f t="shared" si="8"/>
        <v>1496.25</v>
      </c>
      <c r="AF17" s="84">
        <v>2.15</v>
      </c>
      <c r="AG17" s="222">
        <v>1429.75</v>
      </c>
      <c r="AH17" s="84"/>
      <c r="AI17" s="223">
        <f t="shared" si="9"/>
        <v>0</v>
      </c>
      <c r="AL17" s="71"/>
    </row>
    <row r="18" spans="1:38" x14ac:dyDescent="0.3">
      <c r="A18" s="3" t="s">
        <v>43</v>
      </c>
      <c r="B18" s="4" t="s">
        <v>44</v>
      </c>
      <c r="C18" s="4" t="s">
        <v>42</v>
      </c>
      <c r="D18" s="5" t="s">
        <v>6</v>
      </c>
      <c r="E18" s="160">
        <v>850</v>
      </c>
      <c r="F18" s="58"/>
      <c r="G18" s="57">
        <f t="shared" si="0"/>
        <v>0</v>
      </c>
      <c r="H18" s="69">
        <v>0</v>
      </c>
      <c r="I18" s="57">
        <v>0</v>
      </c>
      <c r="J18" s="73">
        <v>0</v>
      </c>
      <c r="K18" s="57">
        <f t="shared" si="1"/>
        <v>0</v>
      </c>
      <c r="L18" s="69">
        <v>0</v>
      </c>
      <c r="M18" s="57">
        <f t="shared" si="2"/>
        <v>0</v>
      </c>
      <c r="N18" s="69">
        <v>0</v>
      </c>
      <c r="O18" s="77">
        <f t="shared" si="3"/>
        <v>0</v>
      </c>
      <c r="P18" s="69"/>
      <c r="Q18" s="83">
        <v>0</v>
      </c>
      <c r="R18" s="69">
        <v>0</v>
      </c>
      <c r="S18" s="77">
        <f t="shared" si="4"/>
        <v>0</v>
      </c>
      <c r="T18" s="69">
        <v>0</v>
      </c>
      <c r="U18" s="77">
        <f t="shared" si="5"/>
        <v>0</v>
      </c>
      <c r="V18" s="69">
        <v>0</v>
      </c>
      <c r="W18" s="116">
        <v>0</v>
      </c>
      <c r="X18" s="69">
        <v>0</v>
      </c>
      <c r="Y18" s="116">
        <f t="shared" si="6"/>
        <v>0</v>
      </c>
      <c r="Z18" s="69">
        <v>0</v>
      </c>
      <c r="AA18" s="116">
        <v>0</v>
      </c>
      <c r="AB18" s="69">
        <v>0</v>
      </c>
      <c r="AC18" s="77">
        <f t="shared" si="7"/>
        <v>0</v>
      </c>
      <c r="AD18" s="69">
        <v>0</v>
      </c>
      <c r="AE18" s="70">
        <f t="shared" si="8"/>
        <v>0</v>
      </c>
      <c r="AF18" s="81">
        <v>0</v>
      </c>
      <c r="AG18" s="222">
        <v>0</v>
      </c>
      <c r="AH18" s="81"/>
      <c r="AI18" s="223">
        <f t="shared" si="9"/>
        <v>0</v>
      </c>
      <c r="AL18" s="71"/>
    </row>
    <row r="19" spans="1:38" x14ac:dyDescent="0.3">
      <c r="A19" s="7" t="s">
        <v>48</v>
      </c>
      <c r="B19" s="8" t="s">
        <v>49</v>
      </c>
      <c r="C19" s="8" t="s">
        <v>42</v>
      </c>
      <c r="D19" s="6" t="s">
        <v>50</v>
      </c>
      <c r="E19" s="160">
        <f>5.2/0.85</f>
        <v>6.1176470588235299</v>
      </c>
      <c r="F19" s="58">
        <v>1288</v>
      </c>
      <c r="G19" s="57">
        <f t="shared" si="0"/>
        <v>7879.5294117647063</v>
      </c>
      <c r="H19" s="69">
        <v>1040</v>
      </c>
      <c r="I19" s="57">
        <v>6362.3529411764712</v>
      </c>
      <c r="J19" s="73">
        <v>800</v>
      </c>
      <c r="K19" s="57">
        <f t="shared" si="1"/>
        <v>4894.1176470588243</v>
      </c>
      <c r="L19" s="69">
        <v>390</v>
      </c>
      <c r="M19" s="57">
        <f t="shared" si="2"/>
        <v>2385.8823529411766</v>
      </c>
      <c r="N19" s="69">
        <v>350</v>
      </c>
      <c r="O19" s="77">
        <f t="shared" si="3"/>
        <v>2141.1764705882356</v>
      </c>
      <c r="P19" s="69">
        <v>350</v>
      </c>
      <c r="Q19" s="83">
        <v>2141.1764705882356</v>
      </c>
      <c r="R19" s="69">
        <v>350</v>
      </c>
      <c r="S19" s="77">
        <f t="shared" si="4"/>
        <v>2141.1764705882356</v>
      </c>
      <c r="T19" s="69">
        <v>160</v>
      </c>
      <c r="U19" s="77">
        <f t="shared" si="5"/>
        <v>978.82352941176475</v>
      </c>
      <c r="V19" s="69">
        <v>160</v>
      </c>
      <c r="W19" s="116">
        <v>978.82352941176475</v>
      </c>
      <c r="X19" s="69">
        <v>160</v>
      </c>
      <c r="Y19" s="116">
        <f t="shared" si="6"/>
        <v>978.82352941176475</v>
      </c>
      <c r="Z19" s="69">
        <v>160</v>
      </c>
      <c r="AA19" s="116">
        <v>978.82352941176475</v>
      </c>
      <c r="AB19" s="69">
        <v>160</v>
      </c>
      <c r="AC19" s="77">
        <f t="shared" si="7"/>
        <v>978.82352941176475</v>
      </c>
      <c r="AD19" s="69">
        <v>220</v>
      </c>
      <c r="AE19" s="70">
        <f t="shared" si="8"/>
        <v>1345.8823529411766</v>
      </c>
      <c r="AF19" s="81">
        <v>220</v>
      </c>
      <c r="AG19" s="222">
        <v>1345.8823529411766</v>
      </c>
      <c r="AH19" s="81"/>
      <c r="AI19" s="223">
        <f t="shared" si="9"/>
        <v>0</v>
      </c>
      <c r="AL19" s="71"/>
    </row>
    <row r="20" spans="1:38" x14ac:dyDescent="0.3">
      <c r="A20" s="3" t="s">
        <v>51</v>
      </c>
      <c r="B20" s="4" t="s">
        <v>49</v>
      </c>
      <c r="C20" s="4" t="s">
        <v>42</v>
      </c>
      <c r="D20" s="5" t="s">
        <v>50</v>
      </c>
      <c r="E20" s="160">
        <f>2.45/0.85</f>
        <v>2.882352941176471</v>
      </c>
      <c r="F20" s="58">
        <v>1250</v>
      </c>
      <c r="G20" s="57">
        <f t="shared" si="0"/>
        <v>3602.9411764705887</v>
      </c>
      <c r="H20" s="69">
        <v>1000</v>
      </c>
      <c r="I20" s="57">
        <v>2882.3529411764712</v>
      </c>
      <c r="J20" s="73">
        <v>750</v>
      </c>
      <c r="K20" s="57">
        <f t="shared" si="1"/>
        <v>2161.7647058823532</v>
      </c>
      <c r="L20" s="69">
        <v>500</v>
      </c>
      <c r="M20" s="57">
        <f t="shared" si="2"/>
        <v>1441.1764705882356</v>
      </c>
      <c r="N20" s="69">
        <v>500</v>
      </c>
      <c r="O20" s="77">
        <f t="shared" si="3"/>
        <v>1441.1764705882356</v>
      </c>
      <c r="P20" s="69">
        <v>500</v>
      </c>
      <c r="Q20" s="83">
        <v>1441.1764705882356</v>
      </c>
      <c r="R20" s="69">
        <v>500</v>
      </c>
      <c r="S20" s="77">
        <f t="shared" si="4"/>
        <v>1441.1764705882356</v>
      </c>
      <c r="T20" s="69">
        <v>400</v>
      </c>
      <c r="U20" s="77">
        <f t="shared" si="5"/>
        <v>1152.9411764705883</v>
      </c>
      <c r="V20" s="69">
        <v>400</v>
      </c>
      <c r="W20" s="116">
        <v>1152.9411764705883</v>
      </c>
      <c r="X20" s="69">
        <v>500</v>
      </c>
      <c r="Y20" s="116">
        <f t="shared" si="6"/>
        <v>1441.1764705882356</v>
      </c>
      <c r="Z20" s="69">
        <v>500</v>
      </c>
      <c r="AA20" s="116">
        <v>1441.1764705882356</v>
      </c>
      <c r="AB20" s="69">
        <v>500</v>
      </c>
      <c r="AC20" s="77">
        <f t="shared" si="7"/>
        <v>1441.1764705882356</v>
      </c>
      <c r="AD20" s="69">
        <v>500</v>
      </c>
      <c r="AE20" s="70">
        <f t="shared" si="8"/>
        <v>1441.1764705882356</v>
      </c>
      <c r="AF20" s="81">
        <v>500</v>
      </c>
      <c r="AG20" s="222">
        <v>1441.1764705882356</v>
      </c>
      <c r="AH20" s="81"/>
      <c r="AI20" s="223">
        <f t="shared" si="9"/>
        <v>0</v>
      </c>
      <c r="AL20" s="71"/>
    </row>
    <row r="21" spans="1:38" x14ac:dyDescent="0.3">
      <c r="A21" s="3" t="s">
        <v>52</v>
      </c>
      <c r="B21" s="4" t="s">
        <v>53</v>
      </c>
      <c r="C21" s="4" t="s">
        <v>42</v>
      </c>
      <c r="D21" s="5" t="s">
        <v>30</v>
      </c>
      <c r="E21" s="160">
        <f>5.89/0.85</f>
        <v>6.9294117647058817</v>
      </c>
      <c r="F21" s="58">
        <v>2971</v>
      </c>
      <c r="G21" s="57">
        <f t="shared" si="0"/>
        <v>20587.282352941176</v>
      </c>
      <c r="H21" s="69">
        <v>2971</v>
      </c>
      <c r="I21" s="57">
        <v>20587.282352941176</v>
      </c>
      <c r="J21" s="73">
        <v>2971</v>
      </c>
      <c r="K21" s="57">
        <f t="shared" si="1"/>
        <v>20587.282352941176</v>
      </c>
      <c r="L21" s="69">
        <v>1160</v>
      </c>
      <c r="M21" s="57">
        <f t="shared" si="2"/>
        <v>8038.1176470588225</v>
      </c>
      <c r="N21" s="69">
        <v>3100</v>
      </c>
      <c r="O21" s="77">
        <f t="shared" si="3"/>
        <v>21481.176470588234</v>
      </c>
      <c r="P21" s="69">
        <v>3120</v>
      </c>
      <c r="Q21" s="83">
        <v>21619.76470588235</v>
      </c>
      <c r="R21" s="69">
        <v>2280</v>
      </c>
      <c r="S21" s="77">
        <f t="shared" si="4"/>
        <v>15799.058823529411</v>
      </c>
      <c r="T21" s="69">
        <v>2040</v>
      </c>
      <c r="U21" s="77">
        <f t="shared" si="5"/>
        <v>14135.999999999998</v>
      </c>
      <c r="V21" s="69">
        <v>5040</v>
      </c>
      <c r="W21" s="116">
        <v>34924.235294117643</v>
      </c>
      <c r="X21" s="69">
        <v>4103</v>
      </c>
      <c r="Y21" s="116">
        <f t="shared" si="6"/>
        <v>28431.376470588231</v>
      </c>
      <c r="Z21" s="69">
        <v>3365</v>
      </c>
      <c r="AA21" s="116">
        <v>23317.470588235294</v>
      </c>
      <c r="AB21" s="69">
        <v>2310</v>
      </c>
      <c r="AC21" s="77">
        <f t="shared" si="7"/>
        <v>16006.941176470587</v>
      </c>
      <c r="AD21" s="69">
        <v>2285</v>
      </c>
      <c r="AE21" s="70">
        <f t="shared" si="8"/>
        <v>15833.705882352941</v>
      </c>
      <c r="AF21" s="81">
        <v>1520</v>
      </c>
      <c r="AG21" s="222">
        <v>10532.705882352941</v>
      </c>
      <c r="AH21" s="81"/>
      <c r="AI21" s="223">
        <f t="shared" si="9"/>
        <v>0</v>
      </c>
      <c r="AJ21" s="190"/>
      <c r="AL21" s="71"/>
    </row>
    <row r="22" spans="1:38" x14ac:dyDescent="0.3">
      <c r="A22" s="3" t="s">
        <v>54</v>
      </c>
      <c r="B22" s="4" t="s">
        <v>15</v>
      </c>
      <c r="C22" s="4" t="s">
        <v>42</v>
      </c>
      <c r="D22" s="5" t="s">
        <v>50</v>
      </c>
      <c r="E22" s="160">
        <v>1.45</v>
      </c>
      <c r="F22" s="58">
        <v>2850</v>
      </c>
      <c r="G22" s="57">
        <f t="shared" si="0"/>
        <v>4132.5</v>
      </c>
      <c r="H22" s="69">
        <v>2850</v>
      </c>
      <c r="I22" s="57">
        <v>4132.5</v>
      </c>
      <c r="J22" s="73">
        <v>2850</v>
      </c>
      <c r="K22" s="57">
        <f t="shared" si="1"/>
        <v>4132.5</v>
      </c>
      <c r="L22" s="69">
        <v>2850</v>
      </c>
      <c r="M22" s="57">
        <f t="shared" si="2"/>
        <v>4132.5</v>
      </c>
      <c r="N22" s="69">
        <v>2800</v>
      </c>
      <c r="O22" s="77">
        <f t="shared" si="3"/>
        <v>4060</v>
      </c>
      <c r="P22" s="7">
        <v>2800</v>
      </c>
      <c r="Q22" s="85">
        <v>4060</v>
      </c>
      <c r="R22" s="7">
        <v>2800</v>
      </c>
      <c r="S22" s="77">
        <f t="shared" si="4"/>
        <v>4060</v>
      </c>
      <c r="T22" s="7">
        <v>2800</v>
      </c>
      <c r="U22" s="77">
        <f t="shared" si="5"/>
        <v>4060</v>
      </c>
      <c r="V22" s="7">
        <v>2800</v>
      </c>
      <c r="W22" s="117">
        <v>4060</v>
      </c>
      <c r="X22" s="7">
        <v>2800</v>
      </c>
      <c r="Y22" s="116">
        <f t="shared" si="6"/>
        <v>4060</v>
      </c>
      <c r="Z22" s="7">
        <v>2800</v>
      </c>
      <c r="AA22" s="116">
        <v>4060</v>
      </c>
      <c r="AB22" s="7">
        <v>2800</v>
      </c>
      <c r="AC22" s="77">
        <f t="shared" si="7"/>
        <v>4060</v>
      </c>
      <c r="AD22" s="7">
        <v>2500</v>
      </c>
      <c r="AE22" s="70">
        <f t="shared" si="8"/>
        <v>3625</v>
      </c>
      <c r="AF22" s="7">
        <v>2500</v>
      </c>
      <c r="AG22" s="222">
        <v>3625</v>
      </c>
      <c r="AH22" s="7"/>
      <c r="AI22" s="223">
        <f t="shared" si="9"/>
        <v>0</v>
      </c>
      <c r="AL22" s="71"/>
    </row>
    <row r="23" spans="1:38" x14ac:dyDescent="0.3">
      <c r="A23" s="3" t="s">
        <v>165</v>
      </c>
      <c r="B23" s="4" t="s">
        <v>53</v>
      </c>
      <c r="C23" s="4" t="s">
        <v>42</v>
      </c>
      <c r="D23" s="5" t="s">
        <v>30</v>
      </c>
      <c r="E23" s="160">
        <f>1.4/0.9</f>
        <v>1.5555555555555554</v>
      </c>
      <c r="F23" s="58"/>
      <c r="G23" s="57">
        <f t="shared" si="0"/>
        <v>0</v>
      </c>
      <c r="H23" s="69"/>
      <c r="I23" s="57">
        <v>0</v>
      </c>
      <c r="J23" s="73"/>
      <c r="K23" s="57">
        <f t="shared" si="1"/>
        <v>0</v>
      </c>
      <c r="L23" s="69"/>
      <c r="M23" s="57">
        <f t="shared" si="2"/>
        <v>0</v>
      </c>
      <c r="N23" s="69">
        <v>0</v>
      </c>
      <c r="O23" s="77">
        <f t="shared" si="3"/>
        <v>0</v>
      </c>
      <c r="P23" s="69">
        <v>0</v>
      </c>
      <c r="Q23" s="83">
        <v>0</v>
      </c>
      <c r="R23" s="69">
        <v>0</v>
      </c>
      <c r="S23" s="77">
        <f t="shared" si="4"/>
        <v>0</v>
      </c>
      <c r="T23" s="69">
        <v>0</v>
      </c>
      <c r="U23" s="77">
        <f t="shared" si="5"/>
        <v>0</v>
      </c>
      <c r="V23" s="69">
        <v>0</v>
      </c>
      <c r="W23" s="116">
        <v>0</v>
      </c>
      <c r="X23" s="69">
        <v>0</v>
      </c>
      <c r="Y23" s="116">
        <f t="shared" si="6"/>
        <v>0</v>
      </c>
      <c r="Z23" s="69">
        <v>0</v>
      </c>
      <c r="AA23" s="116">
        <v>0</v>
      </c>
      <c r="AB23" s="69">
        <v>0</v>
      </c>
      <c r="AC23" s="77">
        <f t="shared" si="7"/>
        <v>0</v>
      </c>
      <c r="AD23" s="69">
        <v>0</v>
      </c>
      <c r="AE23" s="70">
        <f t="shared" si="8"/>
        <v>0</v>
      </c>
      <c r="AF23" s="81">
        <v>0</v>
      </c>
      <c r="AG23" s="222">
        <v>0</v>
      </c>
      <c r="AH23" s="81"/>
      <c r="AI23" s="223">
        <f t="shared" si="9"/>
        <v>0</v>
      </c>
      <c r="AL23" s="71"/>
    </row>
    <row r="24" spans="1:38" x14ac:dyDescent="0.3">
      <c r="A24" s="3" t="s">
        <v>45</v>
      </c>
      <c r="B24" s="4" t="s">
        <v>38</v>
      </c>
      <c r="C24" s="4" t="s">
        <v>8</v>
      </c>
      <c r="D24" s="5" t="s">
        <v>6</v>
      </c>
      <c r="E24" s="160">
        <v>1100</v>
      </c>
      <c r="F24" s="58">
        <v>6.5</v>
      </c>
      <c r="G24" s="57">
        <f t="shared" si="0"/>
        <v>7150</v>
      </c>
      <c r="H24" s="69">
        <v>8</v>
      </c>
      <c r="I24" s="57">
        <v>8800</v>
      </c>
      <c r="J24" s="73">
        <v>9.5</v>
      </c>
      <c r="K24" s="57">
        <f t="shared" si="1"/>
        <v>10450</v>
      </c>
      <c r="L24" s="69">
        <v>6.1</v>
      </c>
      <c r="M24" s="57">
        <f t="shared" si="2"/>
        <v>6710</v>
      </c>
      <c r="N24" s="69">
        <v>4</v>
      </c>
      <c r="O24" s="77">
        <f t="shared" si="3"/>
        <v>4400</v>
      </c>
      <c r="P24" s="69">
        <v>10.25</v>
      </c>
      <c r="Q24" s="83">
        <v>11275</v>
      </c>
      <c r="R24" s="69">
        <v>9</v>
      </c>
      <c r="S24" s="77">
        <f t="shared" si="4"/>
        <v>9900</v>
      </c>
      <c r="T24" s="69">
        <v>9</v>
      </c>
      <c r="U24" s="77">
        <f t="shared" si="5"/>
        <v>9900</v>
      </c>
      <c r="V24" s="69">
        <v>4.5</v>
      </c>
      <c r="W24" s="116">
        <v>4950</v>
      </c>
      <c r="X24" s="69">
        <v>0</v>
      </c>
      <c r="Y24" s="116">
        <f t="shared" si="6"/>
        <v>0</v>
      </c>
      <c r="Z24" s="69">
        <v>0</v>
      </c>
      <c r="AA24" s="116">
        <v>0</v>
      </c>
      <c r="AB24" s="69">
        <v>0</v>
      </c>
      <c r="AC24" s="77">
        <f t="shared" si="7"/>
        <v>0</v>
      </c>
      <c r="AD24" s="69">
        <v>0</v>
      </c>
      <c r="AE24" s="70">
        <f t="shared" si="8"/>
        <v>0</v>
      </c>
      <c r="AF24" s="81">
        <v>0</v>
      </c>
      <c r="AG24" s="222">
        <v>0</v>
      </c>
      <c r="AH24" s="226">
        <f>+('Clonmel Trucks &amp; Yard'!M16+'Clonmel Trucks &amp; Yard'!G41)/1000</f>
        <v>64.0625</v>
      </c>
      <c r="AI24" s="223">
        <f t="shared" si="9"/>
        <v>70468.75</v>
      </c>
      <c r="AL24" s="71"/>
    </row>
    <row r="25" spans="1:38" x14ac:dyDescent="0.3">
      <c r="A25" s="3" t="s">
        <v>46</v>
      </c>
      <c r="B25" s="4" t="s">
        <v>38</v>
      </c>
      <c r="C25" s="4" t="s">
        <v>8</v>
      </c>
      <c r="D25" s="5" t="s">
        <v>6</v>
      </c>
      <c r="E25" s="160">
        <v>833</v>
      </c>
      <c r="F25" s="58">
        <v>5.5</v>
      </c>
      <c r="G25" s="57">
        <f t="shared" si="0"/>
        <v>4581.5</v>
      </c>
      <c r="H25" s="69">
        <v>7.5</v>
      </c>
      <c r="I25" s="57">
        <v>6247.5</v>
      </c>
      <c r="J25" s="73">
        <v>9.4</v>
      </c>
      <c r="K25" s="57">
        <f t="shared" si="1"/>
        <v>7830.2000000000007</v>
      </c>
      <c r="L25" s="69">
        <v>9.5</v>
      </c>
      <c r="M25" s="57">
        <f t="shared" si="2"/>
        <v>7913.5</v>
      </c>
      <c r="N25" s="69">
        <v>6</v>
      </c>
      <c r="O25" s="77">
        <f t="shared" si="3"/>
        <v>4998</v>
      </c>
      <c r="P25" s="69">
        <v>4</v>
      </c>
      <c r="Q25" s="83">
        <v>3332</v>
      </c>
      <c r="R25" s="69">
        <v>3</v>
      </c>
      <c r="S25" s="77">
        <f t="shared" si="4"/>
        <v>2499</v>
      </c>
      <c r="T25" s="69">
        <v>0</v>
      </c>
      <c r="U25" s="77">
        <f t="shared" si="5"/>
        <v>0</v>
      </c>
      <c r="V25" s="69">
        <v>0</v>
      </c>
      <c r="W25" s="116">
        <v>0</v>
      </c>
      <c r="X25" s="69">
        <v>1.5</v>
      </c>
      <c r="Y25" s="116">
        <f t="shared" si="6"/>
        <v>1249.5</v>
      </c>
      <c r="Z25" s="69">
        <v>4.5</v>
      </c>
      <c r="AA25" s="116">
        <v>3748.5</v>
      </c>
      <c r="AB25" s="69">
        <v>8</v>
      </c>
      <c r="AC25" s="77">
        <f t="shared" si="7"/>
        <v>6664</v>
      </c>
      <c r="AD25" s="69">
        <v>6</v>
      </c>
      <c r="AE25" s="70">
        <f t="shared" si="8"/>
        <v>4998</v>
      </c>
      <c r="AF25" s="84">
        <v>0</v>
      </c>
      <c r="AG25" s="222">
        <v>0</v>
      </c>
      <c r="AH25" s="224">
        <f>+('Clonmel Trucks &amp; Yard'!M17+'Clonmel Trucks &amp; Yard'!G42)/1000</f>
        <v>76.5625</v>
      </c>
      <c r="AI25" s="223">
        <f t="shared" si="9"/>
        <v>63776.5625</v>
      </c>
      <c r="AL25" s="71"/>
    </row>
    <row r="26" spans="1:38" x14ac:dyDescent="0.3">
      <c r="A26" s="7" t="s">
        <v>47</v>
      </c>
      <c r="B26" s="8" t="s">
        <v>4</v>
      </c>
      <c r="C26" s="8" t="s">
        <v>8</v>
      </c>
      <c r="D26" s="6" t="s">
        <v>6</v>
      </c>
      <c r="E26" s="160">
        <v>1125</v>
      </c>
      <c r="F26" s="58">
        <v>3</v>
      </c>
      <c r="G26" s="57">
        <f t="shared" si="0"/>
        <v>3375</v>
      </c>
      <c r="H26" s="69">
        <v>0</v>
      </c>
      <c r="I26" s="57">
        <v>0</v>
      </c>
      <c r="J26" s="73">
        <v>0</v>
      </c>
      <c r="K26" s="57">
        <f t="shared" si="1"/>
        <v>0</v>
      </c>
      <c r="L26" s="69">
        <v>0</v>
      </c>
      <c r="M26" s="57">
        <f t="shared" si="2"/>
        <v>0</v>
      </c>
      <c r="N26" s="69">
        <v>0</v>
      </c>
      <c r="O26" s="77">
        <f t="shared" si="3"/>
        <v>0</v>
      </c>
      <c r="P26" s="69"/>
      <c r="Q26" s="83">
        <v>0</v>
      </c>
      <c r="R26" s="69">
        <v>0.5</v>
      </c>
      <c r="S26" s="77">
        <f t="shared" si="4"/>
        <v>562.5</v>
      </c>
      <c r="T26" s="69">
        <v>0</v>
      </c>
      <c r="U26" s="77">
        <f t="shared" si="5"/>
        <v>0</v>
      </c>
      <c r="V26" s="69">
        <v>0</v>
      </c>
      <c r="W26" s="116">
        <v>0</v>
      </c>
      <c r="X26" s="69">
        <v>7.25</v>
      </c>
      <c r="Y26" s="116">
        <f t="shared" si="6"/>
        <v>8156.25</v>
      </c>
      <c r="Z26" s="69">
        <v>6</v>
      </c>
      <c r="AA26" s="116">
        <v>6750</v>
      </c>
      <c r="AB26" s="69">
        <v>10</v>
      </c>
      <c r="AC26" s="77">
        <f t="shared" si="7"/>
        <v>11250</v>
      </c>
      <c r="AD26" s="69">
        <v>0</v>
      </c>
      <c r="AE26" s="70">
        <f t="shared" si="8"/>
        <v>0</v>
      </c>
      <c r="AF26" s="81">
        <v>13.5</v>
      </c>
      <c r="AG26" s="222">
        <v>14850</v>
      </c>
      <c r="AH26" s="81"/>
      <c r="AI26" s="223">
        <f t="shared" si="9"/>
        <v>0</v>
      </c>
      <c r="AL26" s="71"/>
    </row>
    <row r="27" spans="1:38" x14ac:dyDescent="0.3">
      <c r="A27" s="7" t="s">
        <v>7</v>
      </c>
      <c r="B27" s="8" t="s">
        <v>4</v>
      </c>
      <c r="C27" s="8" t="s">
        <v>8</v>
      </c>
      <c r="D27" s="6" t="s">
        <v>6</v>
      </c>
      <c r="E27" s="160">
        <v>885</v>
      </c>
      <c r="F27" s="58"/>
      <c r="G27" s="57">
        <f t="shared" si="0"/>
        <v>0</v>
      </c>
      <c r="H27" s="69">
        <v>0</v>
      </c>
      <c r="I27" s="57">
        <v>0</v>
      </c>
      <c r="J27" s="73">
        <v>0</v>
      </c>
      <c r="K27" s="57">
        <f t="shared" si="1"/>
        <v>0</v>
      </c>
      <c r="L27" s="69">
        <v>0</v>
      </c>
      <c r="M27" s="57">
        <f t="shared" si="2"/>
        <v>0</v>
      </c>
      <c r="N27" s="69">
        <v>0</v>
      </c>
      <c r="O27" s="77">
        <f t="shared" si="3"/>
        <v>0</v>
      </c>
      <c r="P27" s="69">
        <v>6</v>
      </c>
      <c r="Q27" s="83">
        <v>5310</v>
      </c>
      <c r="R27" s="69">
        <v>5.25</v>
      </c>
      <c r="S27" s="77">
        <f t="shared" si="4"/>
        <v>4646.25</v>
      </c>
      <c r="T27" s="69">
        <v>5.25</v>
      </c>
      <c r="U27" s="77">
        <f t="shared" si="5"/>
        <v>4646.25</v>
      </c>
      <c r="V27" s="69">
        <v>3.5</v>
      </c>
      <c r="W27" s="116">
        <v>3097.5</v>
      </c>
      <c r="X27" s="69">
        <v>5</v>
      </c>
      <c r="Y27" s="116">
        <f t="shared" si="6"/>
        <v>4425</v>
      </c>
      <c r="Z27" s="69">
        <v>0</v>
      </c>
      <c r="AA27" s="116">
        <v>0</v>
      </c>
      <c r="AB27" s="69">
        <v>0</v>
      </c>
      <c r="AC27" s="77">
        <f t="shared" si="7"/>
        <v>0</v>
      </c>
      <c r="AD27" s="69">
        <v>2</v>
      </c>
      <c r="AE27" s="70">
        <f t="shared" si="8"/>
        <v>1770</v>
      </c>
      <c r="AF27" s="81">
        <v>5</v>
      </c>
      <c r="AG27" s="222">
        <v>4165</v>
      </c>
      <c r="AH27" s="81"/>
      <c r="AI27" s="223">
        <f t="shared" si="9"/>
        <v>0</v>
      </c>
      <c r="AL27" s="71"/>
    </row>
    <row r="28" spans="1:38" x14ac:dyDescent="0.3">
      <c r="A28" s="7" t="s">
        <v>59</v>
      </c>
      <c r="B28" s="4" t="s">
        <v>4</v>
      </c>
      <c r="C28" s="4" t="s">
        <v>8</v>
      </c>
      <c r="D28" s="6" t="s">
        <v>56</v>
      </c>
      <c r="E28" s="160">
        <v>14</v>
      </c>
      <c r="F28" s="58">
        <v>10</v>
      </c>
      <c r="G28" s="57">
        <f t="shared" si="0"/>
        <v>140</v>
      </c>
      <c r="H28" s="69">
        <v>10</v>
      </c>
      <c r="I28" s="57">
        <v>140</v>
      </c>
      <c r="J28" s="73">
        <v>9</v>
      </c>
      <c r="K28" s="57">
        <f t="shared" si="1"/>
        <v>126</v>
      </c>
      <c r="L28" s="69">
        <v>9</v>
      </c>
      <c r="M28" s="57">
        <f t="shared" si="2"/>
        <v>126</v>
      </c>
      <c r="N28" s="69">
        <v>9</v>
      </c>
      <c r="O28" s="77">
        <f t="shared" si="3"/>
        <v>126</v>
      </c>
      <c r="P28" s="69">
        <v>8</v>
      </c>
      <c r="Q28" s="83">
        <v>126</v>
      </c>
      <c r="R28" s="69">
        <v>8</v>
      </c>
      <c r="S28" s="77">
        <f t="shared" si="4"/>
        <v>112</v>
      </c>
      <c r="T28" s="69">
        <v>7</v>
      </c>
      <c r="U28" s="77">
        <f t="shared" si="5"/>
        <v>98</v>
      </c>
      <c r="V28" s="69">
        <v>7</v>
      </c>
      <c r="W28" s="116">
        <v>98</v>
      </c>
      <c r="X28" s="69">
        <v>6</v>
      </c>
      <c r="Y28" s="116">
        <f t="shared" si="6"/>
        <v>84</v>
      </c>
      <c r="Z28" s="69">
        <v>10</v>
      </c>
      <c r="AA28" s="116">
        <v>140</v>
      </c>
      <c r="AB28" s="69">
        <v>9</v>
      </c>
      <c r="AC28" s="77">
        <f t="shared" si="7"/>
        <v>126</v>
      </c>
      <c r="AD28" s="69">
        <v>8</v>
      </c>
      <c r="AE28" s="70">
        <f t="shared" si="8"/>
        <v>112</v>
      </c>
      <c r="AF28" s="81">
        <v>4</v>
      </c>
      <c r="AG28" s="222">
        <v>56</v>
      </c>
      <c r="AH28" s="81"/>
      <c r="AI28" s="223">
        <f t="shared" si="9"/>
        <v>0</v>
      </c>
      <c r="AL28" s="71"/>
    </row>
    <row r="29" spans="1:38" x14ac:dyDescent="0.3">
      <c r="A29" s="9" t="s">
        <v>55</v>
      </c>
      <c r="B29" s="4" t="s">
        <v>15</v>
      </c>
      <c r="C29" s="4" t="s">
        <v>69</v>
      </c>
      <c r="D29" s="5" t="s">
        <v>16</v>
      </c>
      <c r="E29" s="160">
        <v>311.43</v>
      </c>
      <c r="F29" s="58"/>
      <c r="G29" s="57">
        <f t="shared" si="0"/>
        <v>0</v>
      </c>
      <c r="H29" s="69">
        <v>0</v>
      </c>
      <c r="I29" s="57">
        <v>0</v>
      </c>
      <c r="J29" s="73"/>
      <c r="K29" s="57">
        <f t="shared" si="1"/>
        <v>0</v>
      </c>
      <c r="L29" s="69">
        <v>0</v>
      </c>
      <c r="M29" s="57">
        <f t="shared" si="2"/>
        <v>0</v>
      </c>
      <c r="N29" s="69">
        <v>0</v>
      </c>
      <c r="O29" s="77">
        <f t="shared" si="3"/>
        <v>0</v>
      </c>
      <c r="P29" s="69">
        <v>0</v>
      </c>
      <c r="Q29" s="83">
        <v>0</v>
      </c>
      <c r="R29" s="69">
        <v>0</v>
      </c>
      <c r="S29" s="77">
        <f t="shared" si="4"/>
        <v>0</v>
      </c>
      <c r="T29" s="69">
        <v>0</v>
      </c>
      <c r="U29" s="77">
        <f t="shared" si="5"/>
        <v>0</v>
      </c>
      <c r="V29" s="69">
        <v>0</v>
      </c>
      <c r="W29" s="116">
        <v>0</v>
      </c>
      <c r="X29" s="69">
        <v>0</v>
      </c>
      <c r="Y29" s="116">
        <f t="shared" si="6"/>
        <v>0</v>
      </c>
      <c r="Z29" s="69">
        <v>0</v>
      </c>
      <c r="AA29" s="116">
        <v>0</v>
      </c>
      <c r="AB29" s="69">
        <v>0</v>
      </c>
      <c r="AC29" s="77">
        <f t="shared" si="7"/>
        <v>0</v>
      </c>
      <c r="AD29" s="69">
        <v>0</v>
      </c>
      <c r="AE29" s="70">
        <f t="shared" si="8"/>
        <v>0</v>
      </c>
      <c r="AF29" s="81"/>
      <c r="AG29" s="222">
        <v>0</v>
      </c>
      <c r="AH29" s="81"/>
      <c r="AI29" s="223">
        <f t="shared" si="9"/>
        <v>0</v>
      </c>
      <c r="AL29" s="71"/>
    </row>
    <row r="30" spans="1:38" x14ac:dyDescent="0.3">
      <c r="A30" s="9" t="s">
        <v>86</v>
      </c>
      <c r="B30" s="4" t="s">
        <v>15</v>
      </c>
      <c r="C30" s="4" t="s">
        <v>69</v>
      </c>
      <c r="D30" s="5" t="s">
        <v>56</v>
      </c>
      <c r="E30" s="160">
        <v>150.6</v>
      </c>
      <c r="F30" s="58"/>
      <c r="G30" s="57">
        <f t="shared" si="0"/>
        <v>0</v>
      </c>
      <c r="H30" s="69">
        <v>0</v>
      </c>
      <c r="I30" s="57">
        <v>0</v>
      </c>
      <c r="J30" s="73"/>
      <c r="K30" s="57">
        <f t="shared" si="1"/>
        <v>0</v>
      </c>
      <c r="L30" s="69">
        <v>0</v>
      </c>
      <c r="M30" s="57">
        <f t="shared" si="2"/>
        <v>0</v>
      </c>
      <c r="N30" s="69">
        <v>0</v>
      </c>
      <c r="O30" s="77">
        <f t="shared" si="3"/>
        <v>0</v>
      </c>
      <c r="P30" s="69">
        <v>0</v>
      </c>
      <c r="Q30" s="83">
        <v>0</v>
      </c>
      <c r="R30" s="69">
        <v>0</v>
      </c>
      <c r="S30" s="77">
        <f t="shared" si="4"/>
        <v>0</v>
      </c>
      <c r="T30" s="69">
        <v>0</v>
      </c>
      <c r="U30" s="77">
        <f t="shared" si="5"/>
        <v>0</v>
      </c>
      <c r="V30" s="69">
        <v>0</v>
      </c>
      <c r="W30" s="116">
        <v>0</v>
      </c>
      <c r="X30" s="69">
        <v>0</v>
      </c>
      <c r="Y30" s="116">
        <f t="shared" si="6"/>
        <v>0</v>
      </c>
      <c r="Z30" s="69">
        <v>0</v>
      </c>
      <c r="AA30" s="116">
        <v>0</v>
      </c>
      <c r="AB30" s="69">
        <v>0</v>
      </c>
      <c r="AC30" s="77">
        <f t="shared" si="7"/>
        <v>0</v>
      </c>
      <c r="AD30" s="69">
        <v>0</v>
      </c>
      <c r="AE30" s="70">
        <f t="shared" si="8"/>
        <v>0</v>
      </c>
      <c r="AF30" s="81"/>
      <c r="AG30" s="222">
        <v>0</v>
      </c>
      <c r="AH30" s="81"/>
      <c r="AI30" s="223">
        <f t="shared" si="9"/>
        <v>0</v>
      </c>
      <c r="AL30" s="71"/>
    </row>
    <row r="31" spans="1:38" x14ac:dyDescent="0.3">
      <c r="A31" s="7" t="s">
        <v>185</v>
      </c>
      <c r="B31" s="8" t="s">
        <v>117</v>
      </c>
      <c r="C31" s="8" t="s">
        <v>69</v>
      </c>
      <c r="D31" s="6" t="s">
        <v>16</v>
      </c>
      <c r="E31" s="160">
        <v>230</v>
      </c>
      <c r="F31" s="58"/>
      <c r="G31" s="57">
        <f t="shared" si="0"/>
        <v>0</v>
      </c>
      <c r="H31" s="69">
        <v>0</v>
      </c>
      <c r="I31" s="57">
        <v>0</v>
      </c>
      <c r="J31" s="73"/>
      <c r="K31" s="57">
        <f t="shared" si="1"/>
        <v>0</v>
      </c>
      <c r="L31" s="69">
        <v>4</v>
      </c>
      <c r="M31" s="57">
        <f t="shared" si="2"/>
        <v>920</v>
      </c>
      <c r="N31" s="69">
        <v>2</v>
      </c>
      <c r="O31" s="77">
        <f t="shared" si="3"/>
        <v>460</v>
      </c>
      <c r="P31" s="69">
        <v>0</v>
      </c>
      <c r="Q31" s="83">
        <v>0</v>
      </c>
      <c r="R31" s="69">
        <v>0</v>
      </c>
      <c r="S31" s="77">
        <f t="shared" si="4"/>
        <v>0</v>
      </c>
      <c r="T31" s="69">
        <v>0</v>
      </c>
      <c r="U31" s="77">
        <f t="shared" si="5"/>
        <v>0</v>
      </c>
      <c r="V31" s="69">
        <v>0</v>
      </c>
      <c r="W31" s="116">
        <v>0</v>
      </c>
      <c r="X31" s="69">
        <v>0</v>
      </c>
      <c r="Y31" s="116">
        <f t="shared" si="6"/>
        <v>0</v>
      </c>
      <c r="Z31" s="69">
        <v>0</v>
      </c>
      <c r="AA31" s="116">
        <v>0</v>
      </c>
      <c r="AB31" s="69">
        <v>0</v>
      </c>
      <c r="AC31" s="77">
        <f t="shared" si="7"/>
        <v>0</v>
      </c>
      <c r="AD31" s="69">
        <v>4</v>
      </c>
      <c r="AE31" s="70">
        <f t="shared" si="8"/>
        <v>920</v>
      </c>
      <c r="AF31" s="81"/>
      <c r="AG31" s="222">
        <v>0</v>
      </c>
      <c r="AH31" s="81"/>
      <c r="AI31" s="223">
        <f t="shared" si="9"/>
        <v>0</v>
      </c>
      <c r="AL31" s="71"/>
    </row>
    <row r="32" spans="1:38" x14ac:dyDescent="0.3">
      <c r="A32" s="7" t="s">
        <v>68</v>
      </c>
      <c r="B32" s="8" t="s">
        <v>12</v>
      </c>
      <c r="C32" s="8" t="s">
        <v>69</v>
      </c>
      <c r="D32" s="6" t="s">
        <v>70</v>
      </c>
      <c r="E32" s="160">
        <v>3.1</v>
      </c>
      <c r="F32" s="58">
        <v>1650</v>
      </c>
      <c r="G32" s="57">
        <f t="shared" si="0"/>
        <v>5115</v>
      </c>
      <c r="H32" s="69">
        <v>1350</v>
      </c>
      <c r="I32" s="57">
        <v>4185</v>
      </c>
      <c r="J32" s="73">
        <v>1250</v>
      </c>
      <c r="K32" s="57">
        <f t="shared" si="1"/>
        <v>3875</v>
      </c>
      <c r="L32" s="69">
        <v>1000</v>
      </c>
      <c r="M32" s="57">
        <f t="shared" si="2"/>
        <v>3100</v>
      </c>
      <c r="N32" s="69">
        <v>950</v>
      </c>
      <c r="O32" s="77">
        <f t="shared" si="3"/>
        <v>2945</v>
      </c>
      <c r="P32" s="69">
        <v>800</v>
      </c>
      <c r="Q32" s="83">
        <v>2480</v>
      </c>
      <c r="R32" s="69">
        <v>800</v>
      </c>
      <c r="S32" s="77">
        <f t="shared" si="4"/>
        <v>2480</v>
      </c>
      <c r="T32" s="69">
        <v>750</v>
      </c>
      <c r="U32" s="77">
        <f t="shared" si="5"/>
        <v>2325</v>
      </c>
      <c r="V32" s="69">
        <v>550</v>
      </c>
      <c r="W32" s="116">
        <v>1705</v>
      </c>
      <c r="X32" s="69">
        <v>300</v>
      </c>
      <c r="Y32" s="116">
        <f t="shared" si="6"/>
        <v>930</v>
      </c>
      <c r="Z32" s="69">
        <v>0</v>
      </c>
      <c r="AA32" s="116">
        <v>0</v>
      </c>
      <c r="AB32" s="69">
        <v>900</v>
      </c>
      <c r="AC32" s="77">
        <f t="shared" si="7"/>
        <v>2790</v>
      </c>
      <c r="AD32" s="69">
        <v>1600</v>
      </c>
      <c r="AE32" s="70">
        <f t="shared" si="8"/>
        <v>4960</v>
      </c>
      <c r="AF32" s="81">
        <v>300</v>
      </c>
      <c r="AG32" s="222">
        <v>930</v>
      </c>
      <c r="AH32" s="81"/>
      <c r="AI32" s="223">
        <f t="shared" si="9"/>
        <v>0</v>
      </c>
      <c r="AJ32" s="190"/>
      <c r="AL32" s="71"/>
    </row>
    <row r="33" spans="1:38" x14ac:dyDescent="0.3">
      <c r="A33" s="9" t="s">
        <v>19</v>
      </c>
      <c r="B33" s="4" t="s">
        <v>15</v>
      </c>
      <c r="C33" s="4" t="s">
        <v>166</v>
      </c>
      <c r="D33" s="5" t="s">
        <v>20</v>
      </c>
      <c r="E33" s="160">
        <v>121.3</v>
      </c>
      <c r="F33" s="58">
        <v>18</v>
      </c>
      <c r="G33" s="57">
        <f t="shared" si="0"/>
        <v>2183.4</v>
      </c>
      <c r="H33" s="69">
        <v>26</v>
      </c>
      <c r="I33" s="57">
        <v>2990</v>
      </c>
      <c r="J33" s="73">
        <v>20</v>
      </c>
      <c r="K33" s="57">
        <f t="shared" si="1"/>
        <v>2426</v>
      </c>
      <c r="L33" s="69">
        <v>8</v>
      </c>
      <c r="M33" s="57">
        <f t="shared" si="2"/>
        <v>970.4</v>
      </c>
      <c r="N33" s="69">
        <v>16</v>
      </c>
      <c r="O33" s="77">
        <f t="shared" si="3"/>
        <v>1940.8</v>
      </c>
      <c r="P33" s="69">
        <v>12</v>
      </c>
      <c r="Q33" s="83">
        <v>1380</v>
      </c>
      <c r="R33" s="69">
        <v>12</v>
      </c>
      <c r="S33" s="77">
        <f t="shared" si="4"/>
        <v>1455.6</v>
      </c>
      <c r="T33" s="69">
        <v>13</v>
      </c>
      <c r="U33" s="77">
        <f t="shared" si="5"/>
        <v>1576.8999999999999</v>
      </c>
      <c r="V33" s="69">
        <v>26</v>
      </c>
      <c r="W33" s="116">
        <v>2990</v>
      </c>
      <c r="X33" s="69">
        <v>13</v>
      </c>
      <c r="Y33" s="116">
        <f t="shared" si="6"/>
        <v>1576.8999999999999</v>
      </c>
      <c r="Z33" s="69">
        <v>28</v>
      </c>
      <c r="AA33" s="116">
        <v>3220</v>
      </c>
      <c r="AB33" s="69">
        <v>6</v>
      </c>
      <c r="AC33" s="77">
        <f t="shared" si="7"/>
        <v>727.8</v>
      </c>
      <c r="AD33" s="69">
        <v>25</v>
      </c>
      <c r="AE33" s="70">
        <f t="shared" si="8"/>
        <v>3032.5</v>
      </c>
      <c r="AF33" s="81">
        <v>12</v>
      </c>
      <c r="AG33" s="222">
        <v>1455.6</v>
      </c>
      <c r="AH33" s="81"/>
      <c r="AI33" s="223">
        <f t="shared" si="9"/>
        <v>0</v>
      </c>
      <c r="AL33" s="71"/>
    </row>
    <row r="34" spans="1:38" x14ac:dyDescent="0.3">
      <c r="A34" s="3" t="s">
        <v>215</v>
      </c>
      <c r="B34" s="8" t="s">
        <v>15</v>
      </c>
      <c r="C34" s="4" t="s">
        <v>166</v>
      </c>
      <c r="D34" s="6" t="s">
        <v>18</v>
      </c>
      <c r="E34" s="160">
        <v>139.9</v>
      </c>
      <c r="F34" s="58"/>
      <c r="G34" s="57">
        <f t="shared" ref="G34:G64" si="10">E34*F34</f>
        <v>0</v>
      </c>
      <c r="H34" s="69">
        <v>0</v>
      </c>
      <c r="I34" s="57">
        <v>0</v>
      </c>
      <c r="J34" s="73">
        <v>0</v>
      </c>
      <c r="K34" s="57">
        <f t="shared" si="1"/>
        <v>0</v>
      </c>
      <c r="L34" s="69">
        <v>0</v>
      </c>
      <c r="M34" s="57">
        <f t="shared" si="2"/>
        <v>0</v>
      </c>
      <c r="N34" s="69">
        <v>0</v>
      </c>
      <c r="O34" s="77">
        <f t="shared" si="3"/>
        <v>0</v>
      </c>
      <c r="P34" s="69">
        <v>0</v>
      </c>
      <c r="Q34" s="83">
        <v>0</v>
      </c>
      <c r="R34" s="69"/>
      <c r="S34" s="77">
        <f t="shared" si="4"/>
        <v>0</v>
      </c>
      <c r="T34" s="69">
        <v>0</v>
      </c>
      <c r="U34" s="77">
        <f t="shared" si="5"/>
        <v>0</v>
      </c>
      <c r="V34" s="69">
        <v>0</v>
      </c>
      <c r="W34" s="116">
        <v>0</v>
      </c>
      <c r="X34" s="122">
        <v>3</v>
      </c>
      <c r="Y34" s="116">
        <f t="shared" si="6"/>
        <v>419.70000000000005</v>
      </c>
      <c r="Z34" s="81">
        <v>3</v>
      </c>
      <c r="AA34" s="116">
        <v>419.70000000000005</v>
      </c>
      <c r="AB34" s="81">
        <v>1</v>
      </c>
      <c r="AC34" s="77">
        <f t="shared" si="7"/>
        <v>139.9</v>
      </c>
      <c r="AD34" s="81">
        <v>2</v>
      </c>
      <c r="AE34" s="70">
        <f t="shared" si="8"/>
        <v>279.8</v>
      </c>
      <c r="AF34" s="81">
        <v>0</v>
      </c>
      <c r="AG34" s="222">
        <v>0</v>
      </c>
      <c r="AH34" s="81"/>
      <c r="AI34" s="223">
        <f t="shared" si="9"/>
        <v>0</v>
      </c>
      <c r="AL34" s="71"/>
    </row>
    <row r="35" spans="1:38" x14ac:dyDescent="0.3">
      <c r="A35" s="9" t="s">
        <v>22</v>
      </c>
      <c r="B35" s="4" t="s">
        <v>15</v>
      </c>
      <c r="C35" s="4" t="s">
        <v>166</v>
      </c>
      <c r="D35" s="5" t="s">
        <v>18</v>
      </c>
      <c r="E35" s="160">
        <v>145.21</v>
      </c>
      <c r="F35" s="58"/>
      <c r="G35" s="57">
        <f t="shared" si="10"/>
        <v>0</v>
      </c>
      <c r="H35" s="69">
        <v>0</v>
      </c>
      <c r="I35" s="57">
        <v>0</v>
      </c>
      <c r="J35" s="73">
        <v>0</v>
      </c>
      <c r="K35" s="57">
        <f t="shared" si="1"/>
        <v>0</v>
      </c>
      <c r="L35" s="69">
        <v>0</v>
      </c>
      <c r="M35" s="57">
        <f t="shared" si="2"/>
        <v>0</v>
      </c>
      <c r="N35" s="69">
        <v>0</v>
      </c>
      <c r="O35" s="77">
        <f t="shared" si="3"/>
        <v>0</v>
      </c>
      <c r="P35" s="69">
        <v>0</v>
      </c>
      <c r="Q35" s="83">
        <v>0</v>
      </c>
      <c r="R35" s="69"/>
      <c r="S35" s="77">
        <f t="shared" si="4"/>
        <v>0</v>
      </c>
      <c r="T35" s="69">
        <v>0</v>
      </c>
      <c r="U35" s="77">
        <f t="shared" si="5"/>
        <v>0</v>
      </c>
      <c r="V35" s="69">
        <v>0</v>
      </c>
      <c r="W35" s="116">
        <v>0</v>
      </c>
      <c r="X35" s="69">
        <v>0</v>
      </c>
      <c r="Y35" s="116">
        <f t="shared" si="6"/>
        <v>0</v>
      </c>
      <c r="Z35" s="69">
        <v>0</v>
      </c>
      <c r="AA35" s="116">
        <v>0</v>
      </c>
      <c r="AB35" s="69">
        <v>0</v>
      </c>
      <c r="AC35" s="77">
        <f t="shared" si="7"/>
        <v>0</v>
      </c>
      <c r="AD35" s="69">
        <v>0</v>
      </c>
      <c r="AE35" s="70">
        <f t="shared" si="8"/>
        <v>0</v>
      </c>
      <c r="AF35" s="81">
        <v>0</v>
      </c>
      <c r="AG35" s="222">
        <v>0</v>
      </c>
      <c r="AH35" s="81"/>
      <c r="AI35" s="223">
        <f t="shared" si="9"/>
        <v>0</v>
      </c>
      <c r="AL35" s="71"/>
    </row>
    <row r="36" spans="1:38" x14ac:dyDescent="0.3">
      <c r="A36" s="9" t="s">
        <v>21</v>
      </c>
      <c r="B36" s="8" t="s">
        <v>15</v>
      </c>
      <c r="C36" s="4" t="s">
        <v>166</v>
      </c>
      <c r="D36" s="6" t="s">
        <v>18</v>
      </c>
      <c r="E36" s="160">
        <v>121.33</v>
      </c>
      <c r="F36" s="58">
        <v>9</v>
      </c>
      <c r="G36" s="57">
        <f t="shared" si="10"/>
        <v>1091.97</v>
      </c>
      <c r="H36" s="69">
        <v>7</v>
      </c>
      <c r="I36" s="57">
        <v>805</v>
      </c>
      <c r="J36" s="73">
        <v>11</v>
      </c>
      <c r="K36" s="57">
        <f t="shared" si="1"/>
        <v>1334.6299999999999</v>
      </c>
      <c r="L36" s="69">
        <v>5</v>
      </c>
      <c r="M36" s="57">
        <f t="shared" si="2"/>
        <v>606.65</v>
      </c>
      <c r="N36" s="69">
        <v>10</v>
      </c>
      <c r="O36" s="77">
        <f t="shared" si="3"/>
        <v>1213.3</v>
      </c>
      <c r="P36" s="69">
        <v>7</v>
      </c>
      <c r="Q36" s="83">
        <v>805</v>
      </c>
      <c r="R36" s="69">
        <v>8</v>
      </c>
      <c r="S36" s="77">
        <f t="shared" si="4"/>
        <v>970.64</v>
      </c>
      <c r="T36" s="69">
        <v>10</v>
      </c>
      <c r="U36" s="77">
        <f t="shared" si="5"/>
        <v>1213.3</v>
      </c>
      <c r="V36" s="69">
        <v>8</v>
      </c>
      <c r="W36" s="116">
        <v>920</v>
      </c>
      <c r="X36" s="69">
        <v>8</v>
      </c>
      <c r="Y36" s="116">
        <f t="shared" si="6"/>
        <v>970.64</v>
      </c>
      <c r="Z36" s="81">
        <v>10</v>
      </c>
      <c r="AA36" s="116">
        <v>1150</v>
      </c>
      <c r="AB36" s="81">
        <v>16</v>
      </c>
      <c r="AC36" s="77">
        <f t="shared" si="7"/>
        <v>1941.28</v>
      </c>
      <c r="AD36" s="81">
        <v>16.5</v>
      </c>
      <c r="AE36" s="70">
        <f t="shared" si="8"/>
        <v>2001.9449999999999</v>
      </c>
      <c r="AF36" s="81">
        <v>10</v>
      </c>
      <c r="AG36" s="222">
        <v>1213.3</v>
      </c>
      <c r="AH36" s="81"/>
      <c r="AI36" s="223">
        <f t="shared" si="9"/>
        <v>0</v>
      </c>
      <c r="AL36" s="71"/>
    </row>
    <row r="37" spans="1:38" x14ac:dyDescent="0.3">
      <c r="A37" s="9" t="s">
        <v>92</v>
      </c>
      <c r="B37" s="8" t="s">
        <v>15</v>
      </c>
      <c r="C37" s="4" t="s">
        <v>166</v>
      </c>
      <c r="D37" s="6" t="s">
        <v>18</v>
      </c>
      <c r="E37" s="160">
        <v>127</v>
      </c>
      <c r="F37" s="58">
        <v>3</v>
      </c>
      <c r="G37" s="57">
        <f t="shared" si="10"/>
        <v>381</v>
      </c>
      <c r="H37" s="69">
        <v>7</v>
      </c>
      <c r="I37" s="57">
        <v>889</v>
      </c>
      <c r="J37" s="73">
        <v>1</v>
      </c>
      <c r="K37" s="57">
        <f t="shared" si="1"/>
        <v>127</v>
      </c>
      <c r="L37" s="69">
        <v>1</v>
      </c>
      <c r="M37" s="57">
        <f t="shared" si="2"/>
        <v>127</v>
      </c>
      <c r="N37" s="69">
        <v>1</v>
      </c>
      <c r="O37" s="77">
        <f t="shared" si="3"/>
        <v>127</v>
      </c>
      <c r="P37" s="69">
        <v>1</v>
      </c>
      <c r="Q37" s="83">
        <v>0</v>
      </c>
      <c r="R37" s="69">
        <v>1</v>
      </c>
      <c r="S37" s="77">
        <f t="shared" si="4"/>
        <v>127</v>
      </c>
      <c r="T37" s="69">
        <v>1</v>
      </c>
      <c r="U37" s="77">
        <f t="shared" si="5"/>
        <v>127</v>
      </c>
      <c r="V37" s="69">
        <v>1</v>
      </c>
      <c r="W37" s="116">
        <v>127</v>
      </c>
      <c r="X37" s="69">
        <v>15</v>
      </c>
      <c r="Y37" s="116">
        <f t="shared" si="6"/>
        <v>1905</v>
      </c>
      <c r="Z37" s="69">
        <v>1</v>
      </c>
      <c r="AA37" s="116">
        <v>127</v>
      </c>
      <c r="AB37" s="69">
        <v>0</v>
      </c>
      <c r="AC37" s="77">
        <f t="shared" si="7"/>
        <v>0</v>
      </c>
      <c r="AD37" s="69">
        <v>0</v>
      </c>
      <c r="AE37" s="70">
        <f t="shared" si="8"/>
        <v>0</v>
      </c>
      <c r="AF37" s="81">
        <v>0</v>
      </c>
      <c r="AG37" s="222">
        <v>0</v>
      </c>
      <c r="AH37" s="81"/>
      <c r="AI37" s="223">
        <f t="shared" si="9"/>
        <v>0</v>
      </c>
      <c r="AL37" s="71"/>
    </row>
    <row r="38" spans="1:38" x14ac:dyDescent="0.3">
      <c r="A38" s="9" t="s">
        <v>156</v>
      </c>
      <c r="B38" s="8" t="s">
        <v>15</v>
      </c>
      <c r="C38" s="8" t="s">
        <v>167</v>
      </c>
      <c r="D38" s="6" t="s">
        <v>18</v>
      </c>
      <c r="E38" s="160">
        <v>253</v>
      </c>
      <c r="F38" s="58"/>
      <c r="G38" s="57">
        <f t="shared" si="10"/>
        <v>0</v>
      </c>
      <c r="H38" s="69">
        <v>0</v>
      </c>
      <c r="I38" s="57">
        <v>0</v>
      </c>
      <c r="J38" s="73"/>
      <c r="K38" s="57">
        <f t="shared" si="1"/>
        <v>0</v>
      </c>
      <c r="L38" s="69">
        <v>0</v>
      </c>
      <c r="M38" s="57">
        <f t="shared" si="2"/>
        <v>0</v>
      </c>
      <c r="N38" s="69"/>
      <c r="O38" s="77">
        <f t="shared" si="3"/>
        <v>0</v>
      </c>
      <c r="P38" s="69">
        <v>0</v>
      </c>
      <c r="Q38" s="83">
        <v>0</v>
      </c>
      <c r="R38" s="69"/>
      <c r="S38" s="77">
        <f t="shared" si="4"/>
        <v>0</v>
      </c>
      <c r="T38" s="69">
        <v>0</v>
      </c>
      <c r="U38" s="77">
        <f t="shared" si="5"/>
        <v>0</v>
      </c>
      <c r="V38" s="69">
        <v>0</v>
      </c>
      <c r="W38" s="116">
        <v>0</v>
      </c>
      <c r="X38" s="69">
        <v>0</v>
      </c>
      <c r="Y38" s="116">
        <f t="shared" si="6"/>
        <v>0</v>
      </c>
      <c r="Z38" s="69">
        <v>0</v>
      </c>
      <c r="AA38" s="116">
        <v>0</v>
      </c>
      <c r="AB38" s="69">
        <v>0</v>
      </c>
      <c r="AC38" s="77">
        <f t="shared" si="7"/>
        <v>0</v>
      </c>
      <c r="AD38" s="69">
        <v>2</v>
      </c>
      <c r="AE38" s="70">
        <f t="shared" si="8"/>
        <v>506</v>
      </c>
      <c r="AF38" s="81">
        <v>0</v>
      </c>
      <c r="AG38" s="222">
        <v>0</v>
      </c>
      <c r="AH38" s="81"/>
      <c r="AI38" s="223">
        <f t="shared" si="9"/>
        <v>0</v>
      </c>
      <c r="AL38" s="71"/>
    </row>
    <row r="39" spans="1:38" x14ac:dyDescent="0.3">
      <c r="A39" s="3" t="s">
        <v>28</v>
      </c>
      <c r="B39" s="8" t="s">
        <v>15</v>
      </c>
      <c r="C39" s="8" t="s">
        <v>167</v>
      </c>
      <c r="D39" s="6" t="s">
        <v>18</v>
      </c>
      <c r="E39" s="160">
        <v>156.26</v>
      </c>
      <c r="F39" s="58">
        <v>9</v>
      </c>
      <c r="G39" s="57">
        <f t="shared" si="10"/>
        <v>1406.34</v>
      </c>
      <c r="H39" s="69">
        <v>8</v>
      </c>
      <c r="I39" s="57">
        <v>1108.08</v>
      </c>
      <c r="J39" s="73">
        <v>8</v>
      </c>
      <c r="K39" s="57">
        <f t="shared" si="1"/>
        <v>1250.08</v>
      </c>
      <c r="L39" s="69">
        <v>7</v>
      </c>
      <c r="M39" s="57">
        <f t="shared" si="2"/>
        <v>1093.82</v>
      </c>
      <c r="N39" s="69">
        <v>8</v>
      </c>
      <c r="O39" s="77">
        <f t="shared" si="3"/>
        <v>1250.08</v>
      </c>
      <c r="P39" s="69">
        <v>7</v>
      </c>
      <c r="Q39" s="83">
        <v>969.56999999999994</v>
      </c>
      <c r="R39" s="69">
        <v>7</v>
      </c>
      <c r="S39" s="77">
        <f t="shared" si="4"/>
        <v>1093.82</v>
      </c>
      <c r="T39" s="69">
        <v>6</v>
      </c>
      <c r="U39" s="77">
        <f t="shared" si="5"/>
        <v>937.56</v>
      </c>
      <c r="V39" s="69">
        <v>7</v>
      </c>
      <c r="W39" s="116">
        <v>969.56999999999994</v>
      </c>
      <c r="X39" s="69">
        <v>4</v>
      </c>
      <c r="Y39" s="116">
        <f t="shared" si="6"/>
        <v>625.04</v>
      </c>
      <c r="Z39" s="69">
        <v>4</v>
      </c>
      <c r="AA39" s="116">
        <v>554.04</v>
      </c>
      <c r="AB39" s="69">
        <v>4</v>
      </c>
      <c r="AC39" s="77">
        <f t="shared" si="7"/>
        <v>625.04</v>
      </c>
      <c r="AD39" s="69">
        <v>8</v>
      </c>
      <c r="AE39" s="70">
        <f t="shared" si="8"/>
        <v>1250.08</v>
      </c>
      <c r="AF39" s="81">
        <v>10</v>
      </c>
      <c r="AG39" s="222">
        <v>1562.6</v>
      </c>
      <c r="AH39" s="81"/>
      <c r="AI39" s="223">
        <f t="shared" si="9"/>
        <v>0</v>
      </c>
      <c r="AL39" s="71"/>
    </row>
    <row r="40" spans="1:38" x14ac:dyDescent="0.3">
      <c r="A40" s="3" t="s">
        <v>67</v>
      </c>
      <c r="B40" s="8" t="s">
        <v>15</v>
      </c>
      <c r="C40" s="8" t="s">
        <v>167</v>
      </c>
      <c r="D40" s="6" t="s">
        <v>18</v>
      </c>
      <c r="E40" s="160">
        <v>138.51</v>
      </c>
      <c r="F40" s="58">
        <v>11</v>
      </c>
      <c r="G40" s="57">
        <f t="shared" si="10"/>
        <v>1523.61</v>
      </c>
      <c r="H40" s="69">
        <v>10.5</v>
      </c>
      <c r="I40" s="57">
        <v>1454.355</v>
      </c>
      <c r="J40" s="73">
        <v>4</v>
      </c>
      <c r="K40" s="57">
        <f t="shared" si="1"/>
        <v>554.04</v>
      </c>
      <c r="L40" s="69">
        <v>2</v>
      </c>
      <c r="M40" s="57">
        <f t="shared" si="2"/>
        <v>277.02</v>
      </c>
      <c r="N40" s="69">
        <v>0</v>
      </c>
      <c r="O40" s="77">
        <f t="shared" si="3"/>
        <v>0</v>
      </c>
      <c r="P40" s="69">
        <v>0</v>
      </c>
      <c r="Q40" s="83">
        <v>0</v>
      </c>
      <c r="R40" s="69"/>
      <c r="S40" s="77">
        <f t="shared" si="4"/>
        <v>0</v>
      </c>
      <c r="T40" s="69">
        <v>0</v>
      </c>
      <c r="U40" s="77">
        <f t="shared" si="5"/>
        <v>0</v>
      </c>
      <c r="V40" s="69">
        <v>0</v>
      </c>
      <c r="W40" s="116">
        <v>0</v>
      </c>
      <c r="X40" s="69">
        <v>4</v>
      </c>
      <c r="Y40" s="116">
        <f t="shared" si="6"/>
        <v>554.04</v>
      </c>
      <c r="Z40" s="69">
        <v>4</v>
      </c>
      <c r="AA40" s="116">
        <v>554.04</v>
      </c>
      <c r="AB40" s="69">
        <v>3</v>
      </c>
      <c r="AC40" s="77">
        <f t="shared" si="7"/>
        <v>415.53</v>
      </c>
      <c r="AD40" s="69">
        <v>1</v>
      </c>
      <c r="AE40" s="70">
        <f t="shared" si="8"/>
        <v>138.51</v>
      </c>
      <c r="AF40" s="81">
        <v>1</v>
      </c>
      <c r="AG40" s="222">
        <v>138.51</v>
      </c>
      <c r="AH40" s="81"/>
      <c r="AI40" s="223">
        <f t="shared" si="9"/>
        <v>0</v>
      </c>
      <c r="AL40" s="71"/>
    </row>
    <row r="41" spans="1:38" x14ac:dyDescent="0.3">
      <c r="A41" s="9" t="s">
        <v>23</v>
      </c>
      <c r="B41" s="8" t="s">
        <v>15</v>
      </c>
      <c r="C41" s="8" t="s">
        <v>167</v>
      </c>
      <c r="D41" s="6" t="s">
        <v>20</v>
      </c>
      <c r="E41" s="160">
        <v>155.55000000000001</v>
      </c>
      <c r="F41" s="58">
        <v>3</v>
      </c>
      <c r="G41" s="57">
        <f t="shared" si="10"/>
        <v>466.65000000000003</v>
      </c>
      <c r="H41" s="69">
        <v>3</v>
      </c>
      <c r="I41" s="57">
        <v>466.65000000000003</v>
      </c>
      <c r="J41" s="73">
        <v>3</v>
      </c>
      <c r="K41" s="57">
        <f t="shared" si="1"/>
        <v>466.65000000000003</v>
      </c>
      <c r="L41" s="69">
        <v>3</v>
      </c>
      <c r="M41" s="57">
        <f t="shared" si="2"/>
        <v>466.65000000000003</v>
      </c>
      <c r="N41" s="69">
        <v>3</v>
      </c>
      <c r="O41" s="77">
        <f t="shared" si="3"/>
        <v>466.65000000000003</v>
      </c>
      <c r="P41" s="69">
        <v>3</v>
      </c>
      <c r="Q41" s="83">
        <v>0</v>
      </c>
      <c r="R41" s="69">
        <v>3</v>
      </c>
      <c r="S41" s="77">
        <f t="shared" si="4"/>
        <v>466.65000000000003</v>
      </c>
      <c r="T41" s="69">
        <v>0</v>
      </c>
      <c r="U41" s="77">
        <f t="shared" si="5"/>
        <v>0</v>
      </c>
      <c r="V41" s="69">
        <v>0</v>
      </c>
      <c r="W41" s="116">
        <v>0</v>
      </c>
      <c r="X41" s="69">
        <v>0</v>
      </c>
      <c r="Y41" s="116">
        <f t="shared" si="6"/>
        <v>0</v>
      </c>
      <c r="Z41" s="69">
        <v>0</v>
      </c>
      <c r="AA41" s="116">
        <v>0</v>
      </c>
      <c r="AB41" s="69">
        <v>0</v>
      </c>
      <c r="AC41" s="77">
        <f t="shared" si="7"/>
        <v>0</v>
      </c>
      <c r="AD41" s="69">
        <v>3</v>
      </c>
      <c r="AE41" s="70">
        <f t="shared" si="8"/>
        <v>466.65000000000003</v>
      </c>
      <c r="AF41" s="81">
        <v>0</v>
      </c>
      <c r="AG41" s="222">
        <v>0</v>
      </c>
      <c r="AH41" s="81"/>
      <c r="AI41" s="223">
        <f t="shared" si="9"/>
        <v>0</v>
      </c>
      <c r="AL41" s="71"/>
    </row>
    <row r="42" spans="1:38" x14ac:dyDescent="0.3">
      <c r="A42" s="3" t="s">
        <v>25</v>
      </c>
      <c r="B42" s="8" t="s">
        <v>15</v>
      </c>
      <c r="C42" s="8" t="s">
        <v>167</v>
      </c>
      <c r="D42" s="6" t="s">
        <v>18</v>
      </c>
      <c r="E42" s="160">
        <v>180.43</v>
      </c>
      <c r="F42" s="58"/>
      <c r="G42" s="57">
        <f t="shared" si="10"/>
        <v>0</v>
      </c>
      <c r="H42" s="69">
        <v>0</v>
      </c>
      <c r="I42" s="57">
        <v>0</v>
      </c>
      <c r="J42" s="73">
        <v>2</v>
      </c>
      <c r="K42" s="57">
        <f t="shared" si="1"/>
        <v>360.86</v>
      </c>
      <c r="L42" s="69">
        <v>0</v>
      </c>
      <c r="M42" s="57">
        <f t="shared" si="2"/>
        <v>0</v>
      </c>
      <c r="N42" s="69">
        <v>0</v>
      </c>
      <c r="O42" s="77">
        <f t="shared" si="3"/>
        <v>0</v>
      </c>
      <c r="P42" s="69">
        <v>0</v>
      </c>
      <c r="Q42" s="83">
        <v>0</v>
      </c>
      <c r="R42" s="69">
        <v>0</v>
      </c>
      <c r="S42" s="77">
        <f t="shared" si="4"/>
        <v>0</v>
      </c>
      <c r="T42" s="69">
        <v>0</v>
      </c>
      <c r="U42" s="77">
        <f t="shared" si="5"/>
        <v>0</v>
      </c>
      <c r="V42" s="69">
        <v>0</v>
      </c>
      <c r="W42" s="116">
        <v>0</v>
      </c>
      <c r="X42" s="69">
        <v>0</v>
      </c>
      <c r="Y42" s="116">
        <f t="shared" si="6"/>
        <v>0</v>
      </c>
      <c r="Z42" s="69">
        <v>0</v>
      </c>
      <c r="AA42" s="116">
        <v>0</v>
      </c>
      <c r="AB42" s="69">
        <v>1</v>
      </c>
      <c r="AC42" s="77">
        <f t="shared" si="7"/>
        <v>180.43</v>
      </c>
      <c r="AD42" s="69">
        <v>2</v>
      </c>
      <c r="AE42" s="70">
        <f t="shared" si="8"/>
        <v>360.86</v>
      </c>
      <c r="AF42" s="81">
        <v>0</v>
      </c>
      <c r="AG42" s="222">
        <v>0</v>
      </c>
      <c r="AH42" s="81"/>
      <c r="AI42" s="223">
        <f t="shared" si="9"/>
        <v>0</v>
      </c>
      <c r="AL42" s="71"/>
    </row>
    <row r="43" spans="1:38" x14ac:dyDescent="0.3">
      <c r="A43" s="3" t="s">
        <v>27</v>
      </c>
      <c r="B43" s="4" t="s">
        <v>15</v>
      </c>
      <c r="C43" s="8" t="s">
        <v>167</v>
      </c>
      <c r="D43" s="6" t="s">
        <v>18</v>
      </c>
      <c r="E43" s="160">
        <v>177.09</v>
      </c>
      <c r="F43" s="58">
        <v>8</v>
      </c>
      <c r="G43" s="57">
        <f t="shared" si="10"/>
        <v>1416.72</v>
      </c>
      <c r="H43" s="69">
        <v>0</v>
      </c>
      <c r="I43" s="57">
        <v>0</v>
      </c>
      <c r="J43" s="73"/>
      <c r="K43" s="57">
        <f t="shared" si="1"/>
        <v>0</v>
      </c>
      <c r="L43" s="69">
        <v>0</v>
      </c>
      <c r="M43" s="57">
        <f t="shared" si="2"/>
        <v>0</v>
      </c>
      <c r="N43" s="69">
        <v>0</v>
      </c>
      <c r="O43" s="77">
        <f t="shared" si="3"/>
        <v>0</v>
      </c>
      <c r="P43" s="69">
        <v>0</v>
      </c>
      <c r="Q43" s="83">
        <v>0</v>
      </c>
      <c r="R43" s="69">
        <v>0</v>
      </c>
      <c r="S43" s="77">
        <f t="shared" si="4"/>
        <v>0</v>
      </c>
      <c r="T43" s="69">
        <v>5</v>
      </c>
      <c r="U43" s="77">
        <f t="shared" si="5"/>
        <v>885.45</v>
      </c>
      <c r="V43" s="69">
        <v>3</v>
      </c>
      <c r="W43" s="116">
        <v>498.68999999999994</v>
      </c>
      <c r="X43" s="69">
        <v>10</v>
      </c>
      <c r="Y43" s="116">
        <f t="shared" si="6"/>
        <v>1770.9</v>
      </c>
      <c r="Z43" s="69">
        <v>10</v>
      </c>
      <c r="AA43" s="116">
        <v>1662.3</v>
      </c>
      <c r="AB43" s="69">
        <v>10</v>
      </c>
      <c r="AC43" s="77">
        <f t="shared" si="7"/>
        <v>1770.9</v>
      </c>
      <c r="AD43" s="69">
        <v>5</v>
      </c>
      <c r="AE43" s="70">
        <f t="shared" si="8"/>
        <v>885.45</v>
      </c>
      <c r="AF43" s="81">
        <v>17</v>
      </c>
      <c r="AG43" s="222">
        <v>3010.53</v>
      </c>
      <c r="AH43" s="81"/>
      <c r="AI43" s="223">
        <f t="shared" si="9"/>
        <v>0</v>
      </c>
      <c r="AL43" s="71"/>
    </row>
    <row r="44" spans="1:38" x14ac:dyDescent="0.3">
      <c r="A44" s="3" t="s">
        <v>281</v>
      </c>
      <c r="B44" s="4" t="s">
        <v>15</v>
      </c>
      <c r="C44" s="8" t="s">
        <v>167</v>
      </c>
      <c r="D44" s="6" t="s">
        <v>18</v>
      </c>
      <c r="E44" s="160">
        <v>178.09</v>
      </c>
      <c r="F44" s="58"/>
      <c r="G44" s="57"/>
      <c r="H44" s="69"/>
      <c r="I44" s="57"/>
      <c r="J44" s="73"/>
      <c r="K44" s="57"/>
      <c r="L44" s="69"/>
      <c r="M44" s="57"/>
      <c r="N44" s="69"/>
      <c r="O44" s="77"/>
      <c r="P44" s="69"/>
      <c r="Q44" s="83"/>
      <c r="R44" s="69"/>
      <c r="S44" s="77"/>
      <c r="T44" s="69"/>
      <c r="U44" s="77"/>
      <c r="V44" s="69"/>
      <c r="W44" s="116"/>
      <c r="X44" s="69"/>
      <c r="Y44" s="116"/>
      <c r="Z44" s="69"/>
      <c r="AA44" s="116"/>
      <c r="AB44" s="69"/>
      <c r="AC44" s="77"/>
      <c r="AD44" s="69"/>
      <c r="AE44" s="70"/>
      <c r="AF44" s="81">
        <v>1</v>
      </c>
      <c r="AG44" s="222">
        <v>178.09</v>
      </c>
      <c r="AH44" s="81"/>
      <c r="AI44" s="223">
        <f t="shared" si="9"/>
        <v>0</v>
      </c>
      <c r="AL44" s="71"/>
    </row>
    <row r="45" spans="1:38" x14ac:dyDescent="0.3">
      <c r="A45" s="7" t="s">
        <v>57</v>
      </c>
      <c r="B45" s="8" t="s">
        <v>4</v>
      </c>
      <c r="C45" s="8" t="s">
        <v>29</v>
      </c>
      <c r="D45" s="6" t="s">
        <v>30</v>
      </c>
      <c r="E45" s="160">
        <v>55</v>
      </c>
      <c r="F45" s="58">
        <v>4</v>
      </c>
      <c r="G45" s="57">
        <f t="shared" si="10"/>
        <v>220</v>
      </c>
      <c r="H45" s="69">
        <v>4</v>
      </c>
      <c r="I45" s="57">
        <v>220</v>
      </c>
      <c r="J45" s="73">
        <v>7</v>
      </c>
      <c r="K45" s="57">
        <f t="shared" si="1"/>
        <v>385</v>
      </c>
      <c r="L45" s="69">
        <v>6</v>
      </c>
      <c r="M45" s="57">
        <f t="shared" si="2"/>
        <v>330</v>
      </c>
      <c r="N45" s="69">
        <v>2</v>
      </c>
      <c r="O45" s="77">
        <f t="shared" si="3"/>
        <v>110</v>
      </c>
      <c r="P45" s="69">
        <v>1</v>
      </c>
      <c r="Q45" s="83">
        <v>110</v>
      </c>
      <c r="R45" s="69">
        <v>1</v>
      </c>
      <c r="S45" s="77">
        <f t="shared" si="4"/>
        <v>55</v>
      </c>
      <c r="T45" s="69"/>
      <c r="U45" s="77">
        <f t="shared" si="5"/>
        <v>0</v>
      </c>
      <c r="V45" s="69"/>
      <c r="W45" s="116">
        <v>0</v>
      </c>
      <c r="X45" s="69">
        <v>2</v>
      </c>
      <c r="Y45" s="116">
        <f t="shared" si="6"/>
        <v>110</v>
      </c>
      <c r="Z45" s="69">
        <v>0</v>
      </c>
      <c r="AA45" s="116">
        <v>0</v>
      </c>
      <c r="AB45" s="69">
        <v>4</v>
      </c>
      <c r="AC45" s="77">
        <f t="shared" si="7"/>
        <v>220</v>
      </c>
      <c r="AD45" s="69">
        <v>0</v>
      </c>
      <c r="AE45" s="70">
        <f t="shared" si="8"/>
        <v>0</v>
      </c>
      <c r="AF45" s="81"/>
      <c r="AG45" s="222">
        <v>0</v>
      </c>
      <c r="AH45" s="81"/>
      <c r="AI45" s="223">
        <f t="shared" si="9"/>
        <v>0</v>
      </c>
      <c r="AL45" s="71"/>
    </row>
    <row r="46" spans="1:38" x14ac:dyDescent="0.3">
      <c r="A46" s="7" t="s">
        <v>99</v>
      </c>
      <c r="B46" s="4" t="s">
        <v>4</v>
      </c>
      <c r="C46" s="8" t="s">
        <v>29</v>
      </c>
      <c r="D46" s="5" t="s">
        <v>30</v>
      </c>
      <c r="E46" s="160">
        <v>45</v>
      </c>
      <c r="F46" s="58">
        <v>8</v>
      </c>
      <c r="G46" s="57">
        <f t="shared" si="10"/>
        <v>360</v>
      </c>
      <c r="H46" s="69">
        <v>8</v>
      </c>
      <c r="I46" s="57">
        <v>360</v>
      </c>
      <c r="J46" s="73">
        <v>8</v>
      </c>
      <c r="K46" s="57">
        <f t="shared" si="1"/>
        <v>360</v>
      </c>
      <c r="L46" s="69">
        <v>8</v>
      </c>
      <c r="M46" s="57">
        <f t="shared" si="2"/>
        <v>360</v>
      </c>
      <c r="N46" s="69">
        <v>8</v>
      </c>
      <c r="O46" s="77">
        <f t="shared" si="3"/>
        <v>360</v>
      </c>
      <c r="P46" s="69">
        <v>6</v>
      </c>
      <c r="Q46" s="83">
        <v>360</v>
      </c>
      <c r="R46" s="69">
        <v>8</v>
      </c>
      <c r="S46" s="77">
        <f t="shared" si="4"/>
        <v>360</v>
      </c>
      <c r="T46" s="69">
        <v>8</v>
      </c>
      <c r="U46" s="77">
        <f t="shared" si="5"/>
        <v>360</v>
      </c>
      <c r="V46" s="69">
        <v>6</v>
      </c>
      <c r="W46" s="116">
        <v>270</v>
      </c>
      <c r="X46" s="69">
        <v>6</v>
      </c>
      <c r="Y46" s="116">
        <f t="shared" si="6"/>
        <v>270</v>
      </c>
      <c r="Z46" s="69">
        <v>6</v>
      </c>
      <c r="AA46" s="116">
        <v>270</v>
      </c>
      <c r="AB46" s="69">
        <v>6</v>
      </c>
      <c r="AC46" s="77">
        <f t="shared" si="7"/>
        <v>270</v>
      </c>
      <c r="AD46" s="69">
        <v>6</v>
      </c>
      <c r="AE46" s="70">
        <f t="shared" si="8"/>
        <v>270</v>
      </c>
      <c r="AF46" s="81"/>
      <c r="AG46" s="222">
        <v>0</v>
      </c>
      <c r="AH46" s="81"/>
      <c r="AI46" s="223">
        <f t="shared" si="9"/>
        <v>0</v>
      </c>
      <c r="AL46" s="71"/>
    </row>
    <row r="47" spans="1:38" x14ac:dyDescent="0.3">
      <c r="A47" s="7" t="s">
        <v>177</v>
      </c>
      <c r="B47" s="8" t="s">
        <v>4</v>
      </c>
      <c r="C47" s="8" t="s">
        <v>29</v>
      </c>
      <c r="D47" s="6" t="s">
        <v>30</v>
      </c>
      <c r="E47" s="160">
        <v>135</v>
      </c>
      <c r="F47" s="58"/>
      <c r="G47" s="57">
        <f t="shared" si="10"/>
        <v>0</v>
      </c>
      <c r="H47" s="69">
        <v>0</v>
      </c>
      <c r="I47" s="57">
        <v>0</v>
      </c>
      <c r="J47" s="73"/>
      <c r="K47" s="57">
        <f t="shared" si="1"/>
        <v>0</v>
      </c>
      <c r="L47" s="69">
        <v>10</v>
      </c>
      <c r="M47" s="57">
        <f t="shared" si="2"/>
        <v>1350</v>
      </c>
      <c r="N47" s="69">
        <v>9</v>
      </c>
      <c r="O47" s="77">
        <f t="shared" si="3"/>
        <v>1215</v>
      </c>
      <c r="P47" s="69">
        <v>6</v>
      </c>
      <c r="Q47" s="83">
        <v>810</v>
      </c>
      <c r="R47" s="69">
        <v>0</v>
      </c>
      <c r="S47" s="77">
        <f t="shared" si="4"/>
        <v>0</v>
      </c>
      <c r="T47" s="69">
        <v>5</v>
      </c>
      <c r="U47" s="77">
        <f t="shared" si="5"/>
        <v>675</v>
      </c>
      <c r="V47" s="69">
        <v>5</v>
      </c>
      <c r="W47" s="116">
        <v>675</v>
      </c>
      <c r="X47" s="69">
        <v>5</v>
      </c>
      <c r="Y47" s="116">
        <f t="shared" si="6"/>
        <v>675</v>
      </c>
      <c r="Z47" s="69">
        <v>5</v>
      </c>
      <c r="AA47" s="116">
        <v>675</v>
      </c>
      <c r="AB47" s="69">
        <v>0</v>
      </c>
      <c r="AC47" s="77">
        <f t="shared" si="7"/>
        <v>0</v>
      </c>
      <c r="AD47" s="69">
        <v>0</v>
      </c>
      <c r="AE47" s="70">
        <f t="shared" si="8"/>
        <v>0</v>
      </c>
      <c r="AF47" s="81"/>
      <c r="AG47" s="222">
        <v>0</v>
      </c>
      <c r="AH47" s="81"/>
      <c r="AI47" s="223">
        <f t="shared" si="9"/>
        <v>0</v>
      </c>
      <c r="AL47" s="71"/>
    </row>
    <row r="48" spans="1:38" x14ac:dyDescent="0.3">
      <c r="A48" s="7" t="s">
        <v>175</v>
      </c>
      <c r="B48" s="8" t="s">
        <v>4</v>
      </c>
      <c r="C48" s="8" t="s">
        <v>29</v>
      </c>
      <c r="D48" s="6" t="s">
        <v>30</v>
      </c>
      <c r="E48" s="160">
        <v>65</v>
      </c>
      <c r="F48" s="58"/>
      <c r="G48" s="57">
        <f t="shared" si="10"/>
        <v>0</v>
      </c>
      <c r="H48" s="69"/>
      <c r="I48" s="57"/>
      <c r="J48" s="73"/>
      <c r="K48" s="57">
        <f t="shared" si="1"/>
        <v>0</v>
      </c>
      <c r="L48" s="69"/>
      <c r="M48" s="57">
        <f t="shared" si="2"/>
        <v>0</v>
      </c>
      <c r="N48" s="69"/>
      <c r="O48" s="77">
        <f t="shared" si="3"/>
        <v>0</v>
      </c>
      <c r="P48" s="69"/>
      <c r="Q48" s="83">
        <v>0</v>
      </c>
      <c r="R48" s="69">
        <v>2</v>
      </c>
      <c r="S48" s="77">
        <f t="shared" si="4"/>
        <v>130</v>
      </c>
      <c r="T48" s="69">
        <v>0</v>
      </c>
      <c r="U48" s="77">
        <f t="shared" si="5"/>
        <v>0</v>
      </c>
      <c r="V48" s="69">
        <v>0</v>
      </c>
      <c r="W48" s="116">
        <v>0</v>
      </c>
      <c r="X48" s="69">
        <v>0</v>
      </c>
      <c r="Y48" s="116">
        <f t="shared" si="6"/>
        <v>0</v>
      </c>
      <c r="Z48" s="69">
        <v>0</v>
      </c>
      <c r="AA48" s="116">
        <v>0</v>
      </c>
      <c r="AB48" s="69">
        <v>0</v>
      </c>
      <c r="AC48" s="77">
        <f t="shared" si="7"/>
        <v>0</v>
      </c>
      <c r="AD48" s="69">
        <v>0</v>
      </c>
      <c r="AE48" s="70">
        <f t="shared" si="8"/>
        <v>0</v>
      </c>
      <c r="AF48" s="81"/>
      <c r="AG48" s="222">
        <v>0</v>
      </c>
      <c r="AH48" s="81"/>
      <c r="AI48" s="223">
        <f t="shared" si="9"/>
        <v>0</v>
      </c>
      <c r="AL48" s="71"/>
    </row>
    <row r="49" spans="1:38" x14ac:dyDescent="0.3">
      <c r="A49" s="7" t="s">
        <v>176</v>
      </c>
      <c r="B49" s="8" t="s">
        <v>4</v>
      </c>
      <c r="C49" s="8" t="s">
        <v>29</v>
      </c>
      <c r="D49" s="6" t="s">
        <v>161</v>
      </c>
      <c r="E49" s="160">
        <v>100</v>
      </c>
      <c r="F49" s="58"/>
      <c r="G49" s="57">
        <f t="shared" si="10"/>
        <v>0</v>
      </c>
      <c r="H49" s="69"/>
      <c r="I49" s="57"/>
      <c r="J49" s="73"/>
      <c r="K49" s="57">
        <f t="shared" si="1"/>
        <v>0</v>
      </c>
      <c r="L49" s="69">
        <v>5</v>
      </c>
      <c r="M49" s="57">
        <f t="shared" si="2"/>
        <v>500</v>
      </c>
      <c r="N49" s="69">
        <v>5</v>
      </c>
      <c r="O49" s="77">
        <f t="shared" si="3"/>
        <v>500</v>
      </c>
      <c r="P49" s="69">
        <v>5</v>
      </c>
      <c r="Q49" s="83">
        <v>500</v>
      </c>
      <c r="R49" s="69">
        <v>7</v>
      </c>
      <c r="S49" s="77">
        <f t="shared" si="4"/>
        <v>700</v>
      </c>
      <c r="T49" s="69">
        <v>7</v>
      </c>
      <c r="U49" s="77">
        <f t="shared" si="5"/>
        <v>700</v>
      </c>
      <c r="V49" s="69">
        <v>5</v>
      </c>
      <c r="W49" s="116">
        <v>500</v>
      </c>
      <c r="X49" s="69">
        <v>5</v>
      </c>
      <c r="Y49" s="116">
        <f t="shared" si="6"/>
        <v>500</v>
      </c>
      <c r="Z49" s="69">
        <v>0</v>
      </c>
      <c r="AA49" s="116">
        <v>0</v>
      </c>
      <c r="AB49" s="69">
        <v>0</v>
      </c>
      <c r="AC49" s="77">
        <f t="shared" si="7"/>
        <v>0</v>
      </c>
      <c r="AD49" s="69">
        <v>0</v>
      </c>
      <c r="AE49" s="70">
        <f t="shared" si="8"/>
        <v>0</v>
      </c>
      <c r="AF49" s="81"/>
      <c r="AG49" s="222">
        <v>0</v>
      </c>
      <c r="AH49" s="81"/>
      <c r="AI49" s="223">
        <f t="shared" si="9"/>
        <v>0</v>
      </c>
      <c r="AL49" s="71"/>
    </row>
    <row r="50" spans="1:38" x14ac:dyDescent="0.3">
      <c r="A50" s="7" t="s">
        <v>78</v>
      </c>
      <c r="B50" s="8" t="s">
        <v>4</v>
      </c>
      <c r="C50" s="8" t="s">
        <v>29</v>
      </c>
      <c r="D50" s="6" t="s">
        <v>30</v>
      </c>
      <c r="E50" s="160">
        <v>50</v>
      </c>
      <c r="F50" s="58"/>
      <c r="G50" s="57">
        <f t="shared" si="10"/>
        <v>0</v>
      </c>
      <c r="H50" s="69">
        <v>0</v>
      </c>
      <c r="I50" s="57">
        <v>0</v>
      </c>
      <c r="J50" s="73"/>
      <c r="K50" s="57">
        <f t="shared" si="1"/>
        <v>0</v>
      </c>
      <c r="L50" s="69">
        <v>0</v>
      </c>
      <c r="M50" s="57">
        <f t="shared" si="2"/>
        <v>0</v>
      </c>
      <c r="N50" s="69"/>
      <c r="O50" s="77">
        <f t="shared" si="3"/>
        <v>0</v>
      </c>
      <c r="P50" s="69">
        <v>0</v>
      </c>
      <c r="Q50" s="83">
        <v>0</v>
      </c>
      <c r="R50" s="69"/>
      <c r="S50" s="77">
        <f t="shared" si="4"/>
        <v>0</v>
      </c>
      <c r="T50" s="69">
        <v>0</v>
      </c>
      <c r="U50" s="77">
        <f t="shared" si="5"/>
        <v>0</v>
      </c>
      <c r="V50" s="69">
        <v>0</v>
      </c>
      <c r="W50" s="116">
        <v>0</v>
      </c>
      <c r="X50" s="69">
        <v>0</v>
      </c>
      <c r="Y50" s="116">
        <f t="shared" si="6"/>
        <v>0</v>
      </c>
      <c r="Z50" s="69">
        <v>0</v>
      </c>
      <c r="AA50" s="116">
        <v>0</v>
      </c>
      <c r="AB50" s="69">
        <v>0</v>
      </c>
      <c r="AC50" s="77">
        <f t="shared" si="7"/>
        <v>0</v>
      </c>
      <c r="AD50" s="69">
        <v>0</v>
      </c>
      <c r="AE50" s="70">
        <f t="shared" si="8"/>
        <v>0</v>
      </c>
      <c r="AF50" s="81"/>
      <c r="AG50" s="222">
        <v>0</v>
      </c>
      <c r="AH50" s="81"/>
      <c r="AI50" s="223">
        <f t="shared" si="9"/>
        <v>0</v>
      </c>
      <c r="AL50" s="71"/>
    </row>
    <row r="51" spans="1:38" x14ac:dyDescent="0.3">
      <c r="A51" s="7" t="s">
        <v>83</v>
      </c>
      <c r="B51" s="8" t="s">
        <v>4</v>
      </c>
      <c r="C51" s="8" t="s">
        <v>29</v>
      </c>
      <c r="D51" s="6" t="s">
        <v>30</v>
      </c>
      <c r="E51" s="160">
        <v>95</v>
      </c>
      <c r="F51" s="58">
        <v>10</v>
      </c>
      <c r="G51" s="57">
        <f t="shared" si="10"/>
        <v>950</v>
      </c>
      <c r="H51" s="69">
        <v>10</v>
      </c>
      <c r="I51" s="57">
        <v>950</v>
      </c>
      <c r="J51" s="73">
        <v>10</v>
      </c>
      <c r="K51" s="57">
        <f t="shared" si="1"/>
        <v>950</v>
      </c>
      <c r="L51" s="69">
        <v>10</v>
      </c>
      <c r="M51" s="57">
        <f t="shared" si="2"/>
        <v>950</v>
      </c>
      <c r="N51" s="69">
        <v>10</v>
      </c>
      <c r="O51" s="77">
        <f t="shared" si="3"/>
        <v>950</v>
      </c>
      <c r="P51" s="69">
        <v>10</v>
      </c>
      <c r="Q51" s="83">
        <v>950</v>
      </c>
      <c r="R51" s="69">
        <v>10</v>
      </c>
      <c r="S51" s="77">
        <f t="shared" si="4"/>
        <v>950</v>
      </c>
      <c r="T51" s="69">
        <v>10</v>
      </c>
      <c r="U51" s="77">
        <f t="shared" si="5"/>
        <v>950</v>
      </c>
      <c r="V51" s="69">
        <v>10</v>
      </c>
      <c r="W51" s="116">
        <v>950</v>
      </c>
      <c r="X51" s="69">
        <v>10</v>
      </c>
      <c r="Y51" s="116">
        <f t="shared" si="6"/>
        <v>950</v>
      </c>
      <c r="Z51" s="69">
        <v>10</v>
      </c>
      <c r="AA51" s="116">
        <v>950</v>
      </c>
      <c r="AB51" s="69">
        <v>10</v>
      </c>
      <c r="AC51" s="77">
        <f t="shared" si="7"/>
        <v>950</v>
      </c>
      <c r="AD51" s="69">
        <v>10</v>
      </c>
      <c r="AE51" s="70">
        <f t="shared" si="8"/>
        <v>950</v>
      </c>
      <c r="AF51" s="81"/>
      <c r="AG51" s="222">
        <v>0</v>
      </c>
      <c r="AH51" s="81"/>
      <c r="AI51" s="223">
        <f t="shared" si="9"/>
        <v>0</v>
      </c>
      <c r="AL51" s="71"/>
    </row>
    <row r="52" spans="1:38" x14ac:dyDescent="0.3">
      <c r="A52" s="3" t="s">
        <v>58</v>
      </c>
      <c r="B52" s="4" t="s">
        <v>4</v>
      </c>
      <c r="C52" s="8" t="s">
        <v>29</v>
      </c>
      <c r="D52" s="5" t="s">
        <v>30</v>
      </c>
      <c r="E52" s="160">
        <v>20</v>
      </c>
      <c r="F52" s="58">
        <v>22</v>
      </c>
      <c r="G52" s="57">
        <f t="shared" si="10"/>
        <v>440</v>
      </c>
      <c r="H52" s="69">
        <v>25</v>
      </c>
      <c r="I52" s="57">
        <v>500</v>
      </c>
      <c r="J52" s="73">
        <v>30</v>
      </c>
      <c r="K52" s="57">
        <f t="shared" si="1"/>
        <v>600</v>
      </c>
      <c r="L52" s="69">
        <v>30</v>
      </c>
      <c r="M52" s="57">
        <f t="shared" si="2"/>
        <v>600</v>
      </c>
      <c r="N52" s="69">
        <v>5</v>
      </c>
      <c r="O52" s="77">
        <f t="shared" si="3"/>
        <v>100</v>
      </c>
      <c r="P52" s="69">
        <v>35</v>
      </c>
      <c r="Q52" s="83">
        <v>700</v>
      </c>
      <c r="R52" s="69">
        <v>10</v>
      </c>
      <c r="S52" s="77">
        <f t="shared" si="4"/>
        <v>200</v>
      </c>
      <c r="T52" s="69">
        <v>5</v>
      </c>
      <c r="U52" s="77">
        <f t="shared" si="5"/>
        <v>100</v>
      </c>
      <c r="V52" s="69">
        <v>15</v>
      </c>
      <c r="W52" s="116">
        <v>300</v>
      </c>
      <c r="X52" s="69">
        <v>20</v>
      </c>
      <c r="Y52" s="116">
        <f t="shared" si="6"/>
        <v>400</v>
      </c>
      <c r="Z52" s="69">
        <v>30</v>
      </c>
      <c r="AA52" s="116">
        <v>600</v>
      </c>
      <c r="AB52" s="69">
        <v>30</v>
      </c>
      <c r="AC52" s="77">
        <f t="shared" si="7"/>
        <v>600</v>
      </c>
      <c r="AD52" s="69">
        <v>26</v>
      </c>
      <c r="AE52" s="70">
        <f t="shared" si="8"/>
        <v>520</v>
      </c>
      <c r="AF52" s="81">
        <v>30</v>
      </c>
      <c r="AG52" s="222">
        <v>600</v>
      </c>
      <c r="AH52" s="81"/>
      <c r="AI52" s="223">
        <f t="shared" si="9"/>
        <v>0</v>
      </c>
      <c r="AL52" s="71"/>
    </row>
    <row r="53" spans="1:38" x14ac:dyDescent="0.3">
      <c r="A53" s="7" t="s">
        <v>172</v>
      </c>
      <c r="B53" s="4" t="s">
        <v>173</v>
      </c>
      <c r="C53" s="8" t="s">
        <v>29</v>
      </c>
      <c r="D53" s="5" t="s">
        <v>30</v>
      </c>
      <c r="E53" s="160">
        <v>14</v>
      </c>
      <c r="F53" s="58"/>
      <c r="G53" s="57">
        <f t="shared" si="10"/>
        <v>0</v>
      </c>
      <c r="H53" s="69">
        <v>0</v>
      </c>
      <c r="I53" s="57">
        <v>0</v>
      </c>
      <c r="J53" s="73">
        <v>16</v>
      </c>
      <c r="K53" s="57">
        <f t="shared" si="1"/>
        <v>224</v>
      </c>
      <c r="L53" s="69">
        <v>12</v>
      </c>
      <c r="M53" s="57">
        <f t="shared" si="2"/>
        <v>168</v>
      </c>
      <c r="N53" s="69"/>
      <c r="O53" s="77">
        <f t="shared" si="3"/>
        <v>0</v>
      </c>
      <c r="P53" s="69">
        <v>4</v>
      </c>
      <c r="Q53" s="83">
        <v>56</v>
      </c>
      <c r="R53" s="69">
        <v>4</v>
      </c>
      <c r="S53" s="77">
        <f t="shared" si="4"/>
        <v>56</v>
      </c>
      <c r="T53" s="69">
        <v>0</v>
      </c>
      <c r="U53" s="77">
        <f t="shared" si="5"/>
        <v>0</v>
      </c>
      <c r="V53" s="69">
        <v>0</v>
      </c>
      <c r="W53" s="116">
        <v>0</v>
      </c>
      <c r="X53" s="69">
        <v>0</v>
      </c>
      <c r="Y53" s="116">
        <f t="shared" si="6"/>
        <v>0</v>
      </c>
      <c r="Z53" s="69">
        <v>0</v>
      </c>
      <c r="AA53" s="116">
        <v>0</v>
      </c>
      <c r="AB53" s="69">
        <v>0</v>
      </c>
      <c r="AC53" s="77">
        <f t="shared" si="7"/>
        <v>0</v>
      </c>
      <c r="AD53" s="69">
        <v>0</v>
      </c>
      <c r="AE53" s="70">
        <f t="shared" si="8"/>
        <v>0</v>
      </c>
      <c r="AF53" s="81"/>
      <c r="AG53" s="222">
        <v>0</v>
      </c>
      <c r="AH53" s="81"/>
      <c r="AI53" s="223">
        <f t="shared" si="9"/>
        <v>0</v>
      </c>
      <c r="AL53" s="71"/>
    </row>
    <row r="54" spans="1:38" x14ac:dyDescent="0.3">
      <c r="A54" s="7" t="s">
        <v>266</v>
      </c>
      <c r="B54" s="4" t="s">
        <v>117</v>
      </c>
      <c r="C54" s="8" t="s">
        <v>29</v>
      </c>
      <c r="D54" s="5" t="s">
        <v>30</v>
      </c>
      <c r="E54" s="161"/>
      <c r="F54" s="58"/>
      <c r="G54" s="57">
        <f t="shared" si="10"/>
        <v>0</v>
      </c>
      <c r="H54" s="69"/>
      <c r="I54" s="57"/>
      <c r="J54" s="73"/>
      <c r="K54" s="57"/>
      <c r="L54" s="69"/>
      <c r="M54" s="57"/>
      <c r="N54" s="69"/>
      <c r="O54" s="77">
        <f t="shared" si="3"/>
        <v>0</v>
      </c>
      <c r="P54" s="69"/>
      <c r="Q54" s="83"/>
      <c r="R54" s="69"/>
      <c r="S54" s="77"/>
      <c r="T54" s="69"/>
      <c r="U54" s="77"/>
      <c r="V54" s="69"/>
      <c r="W54" s="116"/>
      <c r="X54" s="69"/>
      <c r="Y54" s="116"/>
      <c r="Z54" s="69"/>
      <c r="AA54" s="116"/>
      <c r="AB54" s="69"/>
      <c r="AC54" s="77"/>
      <c r="AD54" s="69"/>
      <c r="AE54" s="70"/>
      <c r="AF54" s="81">
        <v>10</v>
      </c>
      <c r="AG54" s="222">
        <v>0</v>
      </c>
      <c r="AH54" s="81"/>
      <c r="AI54" s="223">
        <f t="shared" si="9"/>
        <v>0</v>
      </c>
      <c r="AL54" s="71"/>
    </row>
    <row r="55" spans="1:38" x14ac:dyDescent="0.3">
      <c r="A55" s="7" t="s">
        <v>79</v>
      </c>
      <c r="B55" s="4" t="s">
        <v>4</v>
      </c>
      <c r="C55" s="8" t="s">
        <v>29</v>
      </c>
      <c r="D55" s="5" t="s">
        <v>30</v>
      </c>
      <c r="E55" s="160">
        <v>20</v>
      </c>
      <c r="F55" s="58">
        <v>12</v>
      </c>
      <c r="G55" s="57">
        <f t="shared" si="10"/>
        <v>240</v>
      </c>
      <c r="H55" s="69">
        <v>14</v>
      </c>
      <c r="I55" s="57">
        <v>210</v>
      </c>
      <c r="J55" s="73">
        <v>10</v>
      </c>
      <c r="K55" s="57">
        <f t="shared" si="1"/>
        <v>200</v>
      </c>
      <c r="L55" s="69">
        <v>26</v>
      </c>
      <c r="M55" s="57">
        <f t="shared" si="2"/>
        <v>520</v>
      </c>
      <c r="N55" s="69">
        <v>23</v>
      </c>
      <c r="O55" s="77">
        <f t="shared" si="3"/>
        <v>460</v>
      </c>
      <c r="P55" s="69"/>
      <c r="Q55" s="83">
        <v>0</v>
      </c>
      <c r="R55" s="69">
        <v>30</v>
      </c>
      <c r="S55" s="77">
        <f t="shared" si="4"/>
        <v>600</v>
      </c>
      <c r="T55" s="69">
        <v>20</v>
      </c>
      <c r="U55" s="77">
        <f t="shared" si="5"/>
        <v>400</v>
      </c>
      <c r="V55" s="69">
        <v>10</v>
      </c>
      <c r="W55" s="116">
        <v>150</v>
      </c>
      <c r="X55" s="69">
        <v>5</v>
      </c>
      <c r="Y55" s="116">
        <f t="shared" si="6"/>
        <v>100</v>
      </c>
      <c r="Z55" s="69">
        <v>10</v>
      </c>
      <c r="AA55" s="116">
        <v>150</v>
      </c>
      <c r="AB55" s="69">
        <v>17</v>
      </c>
      <c r="AC55" s="77">
        <f t="shared" si="7"/>
        <v>340</v>
      </c>
      <c r="AD55" s="69">
        <v>6</v>
      </c>
      <c r="AE55" s="70">
        <f t="shared" si="8"/>
        <v>120</v>
      </c>
      <c r="AF55" s="81"/>
      <c r="AG55" s="222">
        <v>0</v>
      </c>
      <c r="AH55" s="81"/>
      <c r="AI55" s="223">
        <f t="shared" si="9"/>
        <v>0</v>
      </c>
      <c r="AL55" s="71"/>
    </row>
    <row r="56" spans="1:38" x14ac:dyDescent="0.3">
      <c r="A56" s="7" t="s">
        <v>186</v>
      </c>
      <c r="B56" s="8" t="s">
        <v>4</v>
      </c>
      <c r="C56" s="8" t="s">
        <v>29</v>
      </c>
      <c r="D56" s="6" t="s">
        <v>30</v>
      </c>
      <c r="E56" s="160">
        <v>65</v>
      </c>
      <c r="F56" s="58"/>
      <c r="G56" s="57">
        <f t="shared" si="10"/>
        <v>0</v>
      </c>
      <c r="H56" s="69">
        <v>0</v>
      </c>
      <c r="I56" s="57">
        <v>0</v>
      </c>
      <c r="J56" s="73">
        <v>0</v>
      </c>
      <c r="K56" s="57">
        <f t="shared" si="1"/>
        <v>0</v>
      </c>
      <c r="L56" s="69">
        <v>0</v>
      </c>
      <c r="M56" s="57">
        <f t="shared" si="2"/>
        <v>0</v>
      </c>
      <c r="N56" s="69"/>
      <c r="O56" s="77">
        <f t="shared" si="3"/>
        <v>0</v>
      </c>
      <c r="P56" s="69">
        <v>8</v>
      </c>
      <c r="Q56" s="83">
        <v>520</v>
      </c>
      <c r="R56" s="69">
        <v>0</v>
      </c>
      <c r="S56" s="77">
        <f t="shared" si="4"/>
        <v>0</v>
      </c>
      <c r="T56" s="69">
        <v>0</v>
      </c>
      <c r="U56" s="77">
        <f t="shared" si="5"/>
        <v>0</v>
      </c>
      <c r="V56" s="69">
        <v>0</v>
      </c>
      <c r="W56" s="116">
        <v>0</v>
      </c>
      <c r="X56" s="69">
        <v>0</v>
      </c>
      <c r="Y56" s="116">
        <f t="shared" si="6"/>
        <v>0</v>
      </c>
      <c r="Z56" s="69">
        <v>0</v>
      </c>
      <c r="AA56" s="116">
        <v>0</v>
      </c>
      <c r="AB56" s="69">
        <v>0</v>
      </c>
      <c r="AC56" s="77">
        <f t="shared" si="7"/>
        <v>0</v>
      </c>
      <c r="AD56" s="69">
        <v>0</v>
      </c>
      <c r="AE56" s="70">
        <f t="shared" si="8"/>
        <v>0</v>
      </c>
      <c r="AF56" s="81"/>
      <c r="AG56" s="222">
        <v>0</v>
      </c>
      <c r="AH56" s="81"/>
      <c r="AI56" s="223">
        <f t="shared" si="9"/>
        <v>0</v>
      </c>
      <c r="AL56" s="71"/>
    </row>
    <row r="57" spans="1:38" x14ac:dyDescent="0.3">
      <c r="A57" s="7" t="s">
        <v>136</v>
      </c>
      <c r="B57" s="4" t="s">
        <v>4</v>
      </c>
      <c r="C57" s="8" t="s">
        <v>29</v>
      </c>
      <c r="D57" s="5" t="s">
        <v>30</v>
      </c>
      <c r="E57" s="160">
        <v>60</v>
      </c>
      <c r="F57" s="58"/>
      <c r="G57" s="57">
        <f t="shared" si="10"/>
        <v>0</v>
      </c>
      <c r="H57" s="69">
        <v>0</v>
      </c>
      <c r="I57" s="57">
        <v>0</v>
      </c>
      <c r="J57" s="73">
        <v>0</v>
      </c>
      <c r="K57" s="57">
        <f t="shared" si="1"/>
        <v>0</v>
      </c>
      <c r="L57" s="69">
        <v>86</v>
      </c>
      <c r="M57" s="57">
        <f t="shared" si="2"/>
        <v>5160</v>
      </c>
      <c r="N57" s="69">
        <v>0</v>
      </c>
      <c r="O57" s="77">
        <f t="shared" si="3"/>
        <v>0</v>
      </c>
      <c r="P57" s="69">
        <v>35</v>
      </c>
      <c r="Q57" s="83">
        <v>2100</v>
      </c>
      <c r="R57" s="69">
        <v>24</v>
      </c>
      <c r="S57" s="77">
        <f t="shared" si="4"/>
        <v>1440</v>
      </c>
      <c r="T57" s="69">
        <v>24</v>
      </c>
      <c r="U57" s="77">
        <f t="shared" si="5"/>
        <v>1440</v>
      </c>
      <c r="V57" s="69">
        <v>36</v>
      </c>
      <c r="W57" s="116">
        <v>2160</v>
      </c>
      <c r="X57" s="69">
        <v>58</v>
      </c>
      <c r="Y57" s="116">
        <f t="shared" si="6"/>
        <v>3480</v>
      </c>
      <c r="Z57" s="69">
        <v>22</v>
      </c>
      <c r="AA57" s="116">
        <v>1320</v>
      </c>
      <c r="AB57" s="69">
        <v>22</v>
      </c>
      <c r="AC57" s="77">
        <f t="shared" si="7"/>
        <v>1320</v>
      </c>
      <c r="AD57" s="69">
        <v>0</v>
      </c>
      <c r="AE57" s="70">
        <f t="shared" si="8"/>
        <v>0</v>
      </c>
      <c r="AF57" s="81"/>
      <c r="AG57" s="222">
        <v>0</v>
      </c>
      <c r="AH57" s="81"/>
      <c r="AI57" s="223">
        <f t="shared" si="9"/>
        <v>0</v>
      </c>
      <c r="AL57" s="71"/>
    </row>
    <row r="58" spans="1:38" x14ac:dyDescent="0.3">
      <c r="A58" s="7" t="s">
        <v>84</v>
      </c>
      <c r="B58" s="4" t="s">
        <v>4</v>
      </c>
      <c r="C58" s="8" t="s">
        <v>29</v>
      </c>
      <c r="D58" s="5" t="s">
        <v>30</v>
      </c>
      <c r="E58" s="160">
        <v>675</v>
      </c>
      <c r="G58" s="57">
        <f t="shared" si="10"/>
        <v>0</v>
      </c>
      <c r="H58" s="69">
        <v>0</v>
      </c>
      <c r="I58" s="57">
        <v>0</v>
      </c>
      <c r="J58" s="73">
        <v>0</v>
      </c>
      <c r="K58" s="57">
        <f t="shared" si="1"/>
        <v>0</v>
      </c>
      <c r="L58" s="69">
        <v>0</v>
      </c>
      <c r="M58" s="57">
        <f t="shared" si="2"/>
        <v>0</v>
      </c>
      <c r="N58" s="69">
        <v>0</v>
      </c>
      <c r="O58" s="77">
        <f t="shared" si="3"/>
        <v>0</v>
      </c>
      <c r="P58" s="69"/>
      <c r="Q58" s="83">
        <v>0</v>
      </c>
      <c r="R58" s="69">
        <v>0</v>
      </c>
      <c r="S58" s="77">
        <f t="shared" si="4"/>
        <v>0</v>
      </c>
      <c r="T58" s="69">
        <v>0</v>
      </c>
      <c r="U58" s="77">
        <f t="shared" si="5"/>
        <v>0</v>
      </c>
      <c r="V58" s="69">
        <v>0</v>
      </c>
      <c r="W58" s="116">
        <v>0</v>
      </c>
      <c r="X58" s="69">
        <v>0</v>
      </c>
      <c r="Y58" s="116">
        <f t="shared" si="6"/>
        <v>0</v>
      </c>
      <c r="Z58" s="69">
        <v>0</v>
      </c>
      <c r="AA58" s="116">
        <v>0</v>
      </c>
      <c r="AB58" s="69">
        <v>0</v>
      </c>
      <c r="AC58" s="77">
        <f t="shared" si="7"/>
        <v>0</v>
      </c>
      <c r="AD58" s="69">
        <v>0</v>
      </c>
      <c r="AE58" s="70">
        <f t="shared" si="8"/>
        <v>0</v>
      </c>
      <c r="AF58" s="81"/>
      <c r="AG58" s="222">
        <v>0</v>
      </c>
      <c r="AH58" s="81"/>
      <c r="AI58" s="223">
        <f t="shared" si="9"/>
        <v>0</v>
      </c>
      <c r="AL58" s="71"/>
    </row>
    <row r="59" spans="1:38" x14ac:dyDescent="0.3">
      <c r="A59" s="7" t="s">
        <v>110</v>
      </c>
      <c r="B59" s="4" t="s">
        <v>117</v>
      </c>
      <c r="C59" s="4" t="s">
        <v>135</v>
      </c>
      <c r="D59" s="5" t="s">
        <v>103</v>
      </c>
      <c r="E59" s="160">
        <v>81</v>
      </c>
      <c r="F59" s="58">
        <v>5</v>
      </c>
      <c r="G59" s="57">
        <f t="shared" si="10"/>
        <v>405</v>
      </c>
      <c r="H59" s="69">
        <v>5</v>
      </c>
      <c r="I59" s="57">
        <v>405</v>
      </c>
      <c r="J59" s="73">
        <v>5</v>
      </c>
      <c r="K59" s="57">
        <f t="shared" si="1"/>
        <v>405</v>
      </c>
      <c r="L59" s="69">
        <v>5</v>
      </c>
      <c r="M59" s="57">
        <f t="shared" si="2"/>
        <v>405</v>
      </c>
      <c r="N59" s="69">
        <v>5</v>
      </c>
      <c r="O59" s="77">
        <f t="shared" si="3"/>
        <v>405</v>
      </c>
      <c r="P59" s="69">
        <v>2</v>
      </c>
      <c r="Q59" s="83">
        <v>162</v>
      </c>
      <c r="R59" s="69">
        <v>2</v>
      </c>
      <c r="S59" s="77">
        <f t="shared" si="4"/>
        <v>162</v>
      </c>
      <c r="T59" s="69">
        <v>2</v>
      </c>
      <c r="U59" s="77">
        <f t="shared" si="5"/>
        <v>162</v>
      </c>
      <c r="V59" s="69">
        <v>2</v>
      </c>
      <c r="W59" s="116">
        <v>162</v>
      </c>
      <c r="X59" s="69">
        <v>0</v>
      </c>
      <c r="Y59" s="116">
        <f t="shared" si="6"/>
        <v>0</v>
      </c>
      <c r="Z59" s="69">
        <v>0</v>
      </c>
      <c r="AA59" s="116">
        <v>0</v>
      </c>
      <c r="AB59" s="69">
        <v>0</v>
      </c>
      <c r="AC59" s="77">
        <f t="shared" si="7"/>
        <v>0</v>
      </c>
      <c r="AD59" s="69">
        <v>0</v>
      </c>
      <c r="AE59" s="70">
        <f t="shared" si="8"/>
        <v>0</v>
      </c>
      <c r="AF59" s="81"/>
      <c r="AG59" s="222">
        <v>0</v>
      </c>
      <c r="AH59" s="81"/>
      <c r="AI59" s="223">
        <f t="shared" si="9"/>
        <v>0</v>
      </c>
      <c r="AL59" s="71"/>
    </row>
    <row r="60" spans="1:38" x14ac:dyDescent="0.3">
      <c r="A60" s="7" t="s">
        <v>174</v>
      </c>
      <c r="B60" s="4" t="s">
        <v>117</v>
      </c>
      <c r="C60" s="4" t="s">
        <v>135</v>
      </c>
      <c r="D60" s="5" t="s">
        <v>103</v>
      </c>
      <c r="E60" s="160">
        <v>81</v>
      </c>
      <c r="F60" s="58"/>
      <c r="G60" s="57"/>
      <c r="H60" s="69"/>
      <c r="I60" s="57"/>
      <c r="J60" s="73"/>
      <c r="K60" s="57"/>
      <c r="L60" s="69"/>
      <c r="M60" s="57"/>
      <c r="N60" s="69"/>
      <c r="O60" s="77"/>
      <c r="P60" s="69"/>
      <c r="Q60" s="83"/>
      <c r="R60" s="69"/>
      <c r="S60" s="77"/>
      <c r="T60" s="69"/>
      <c r="U60" s="77"/>
      <c r="V60" s="69"/>
      <c r="W60" s="116"/>
      <c r="X60" s="69">
        <v>12</v>
      </c>
      <c r="Y60" s="116">
        <f t="shared" si="6"/>
        <v>972</v>
      </c>
      <c r="Z60" s="69">
        <v>4</v>
      </c>
      <c r="AA60" s="116">
        <v>324</v>
      </c>
      <c r="AB60" s="69">
        <v>4</v>
      </c>
      <c r="AC60" s="77">
        <f t="shared" si="7"/>
        <v>324</v>
      </c>
      <c r="AD60" s="69">
        <v>4</v>
      </c>
      <c r="AE60" s="70">
        <f t="shared" si="8"/>
        <v>324</v>
      </c>
      <c r="AF60" s="81">
        <v>2</v>
      </c>
      <c r="AG60" s="222">
        <v>162</v>
      </c>
      <c r="AH60" s="81"/>
      <c r="AI60" s="223">
        <f t="shared" si="9"/>
        <v>0</v>
      </c>
      <c r="AL60" s="71"/>
    </row>
    <row r="61" spans="1:38" x14ac:dyDescent="0.3">
      <c r="A61" s="7" t="s">
        <v>111</v>
      </c>
      <c r="B61" s="4" t="s">
        <v>117</v>
      </c>
      <c r="C61" s="4" t="s">
        <v>135</v>
      </c>
      <c r="D61" s="5" t="s">
        <v>103</v>
      </c>
      <c r="E61" s="160">
        <v>81</v>
      </c>
      <c r="F61" s="58">
        <v>11</v>
      </c>
      <c r="G61" s="57">
        <f t="shared" si="10"/>
        <v>891</v>
      </c>
      <c r="H61" s="69">
        <v>11</v>
      </c>
      <c r="I61" s="57">
        <v>891</v>
      </c>
      <c r="J61" s="73">
        <v>11</v>
      </c>
      <c r="K61" s="57">
        <f t="shared" si="1"/>
        <v>891</v>
      </c>
      <c r="L61" s="69">
        <v>11</v>
      </c>
      <c r="M61" s="57">
        <f t="shared" si="2"/>
        <v>891</v>
      </c>
      <c r="N61" s="69">
        <v>9</v>
      </c>
      <c r="O61" s="77">
        <f t="shared" si="3"/>
        <v>729</v>
      </c>
      <c r="P61" s="69">
        <v>10</v>
      </c>
      <c r="Q61" s="83">
        <v>810</v>
      </c>
      <c r="R61" s="69">
        <v>11</v>
      </c>
      <c r="S61" s="77">
        <f t="shared" si="4"/>
        <v>891</v>
      </c>
      <c r="T61" s="69">
        <v>6</v>
      </c>
      <c r="U61" s="77">
        <f t="shared" si="5"/>
        <v>486</v>
      </c>
      <c r="V61" s="69">
        <v>6</v>
      </c>
      <c r="W61" s="116">
        <v>486</v>
      </c>
      <c r="X61" s="69">
        <v>2</v>
      </c>
      <c r="Y61" s="116">
        <f t="shared" si="6"/>
        <v>162</v>
      </c>
      <c r="Z61" s="69">
        <v>7</v>
      </c>
      <c r="AA61" s="116">
        <v>567</v>
      </c>
      <c r="AB61" s="69">
        <v>0</v>
      </c>
      <c r="AC61" s="77">
        <f t="shared" si="7"/>
        <v>0</v>
      </c>
      <c r="AD61" s="69">
        <v>0</v>
      </c>
      <c r="AE61" s="70">
        <f t="shared" si="8"/>
        <v>0</v>
      </c>
      <c r="AF61" s="81">
        <v>8</v>
      </c>
      <c r="AG61" s="222">
        <v>648</v>
      </c>
      <c r="AH61" s="81"/>
      <c r="AI61" s="223">
        <f t="shared" si="9"/>
        <v>0</v>
      </c>
      <c r="AL61" s="71"/>
    </row>
    <row r="62" spans="1:38" x14ac:dyDescent="0.3">
      <c r="A62" s="7" t="s">
        <v>112</v>
      </c>
      <c r="B62" s="4" t="s">
        <v>117</v>
      </c>
      <c r="C62" s="4" t="s">
        <v>135</v>
      </c>
      <c r="D62" s="5" t="s">
        <v>103</v>
      </c>
      <c r="E62" s="160">
        <v>81</v>
      </c>
      <c r="F62" s="58">
        <v>17</v>
      </c>
      <c r="G62" s="57">
        <f t="shared" si="10"/>
        <v>1377</v>
      </c>
      <c r="H62" s="69">
        <v>17</v>
      </c>
      <c r="I62" s="57">
        <v>1377</v>
      </c>
      <c r="J62" s="73">
        <v>24</v>
      </c>
      <c r="K62" s="57">
        <f t="shared" si="1"/>
        <v>1944</v>
      </c>
      <c r="L62" s="69">
        <v>22</v>
      </c>
      <c r="M62" s="57">
        <f t="shared" si="2"/>
        <v>1782</v>
      </c>
      <c r="N62" s="69">
        <v>20</v>
      </c>
      <c r="O62" s="77">
        <f t="shared" si="3"/>
        <v>1620</v>
      </c>
      <c r="P62" s="69">
        <v>9</v>
      </c>
      <c r="Q62" s="83">
        <v>729</v>
      </c>
      <c r="R62" s="69">
        <v>9</v>
      </c>
      <c r="S62" s="77">
        <f t="shared" si="4"/>
        <v>729</v>
      </c>
      <c r="T62" s="69">
        <v>9</v>
      </c>
      <c r="U62" s="77">
        <f t="shared" si="5"/>
        <v>729</v>
      </c>
      <c r="V62" s="69">
        <v>9</v>
      </c>
      <c r="W62" s="116">
        <v>729</v>
      </c>
      <c r="X62" s="69">
        <v>9</v>
      </c>
      <c r="Y62" s="116">
        <f t="shared" si="6"/>
        <v>729</v>
      </c>
      <c r="Z62" s="69">
        <v>3</v>
      </c>
      <c r="AA62" s="116">
        <v>243</v>
      </c>
      <c r="AB62" s="69">
        <v>3</v>
      </c>
      <c r="AC62" s="77">
        <f t="shared" si="7"/>
        <v>243</v>
      </c>
      <c r="AD62" s="69">
        <v>9</v>
      </c>
      <c r="AE62" s="70">
        <f t="shared" si="8"/>
        <v>729</v>
      </c>
      <c r="AF62" s="81">
        <v>9</v>
      </c>
      <c r="AG62" s="222">
        <v>729</v>
      </c>
      <c r="AH62" s="81"/>
      <c r="AI62" s="223">
        <f t="shared" si="9"/>
        <v>0</v>
      </c>
      <c r="AL62" s="71"/>
    </row>
    <row r="63" spans="1:38" x14ac:dyDescent="0.3">
      <c r="A63" s="7" t="s">
        <v>171</v>
      </c>
      <c r="B63" s="4" t="s">
        <v>117</v>
      </c>
      <c r="C63" s="4" t="s">
        <v>135</v>
      </c>
      <c r="D63" s="5" t="s">
        <v>103</v>
      </c>
      <c r="E63" s="160">
        <v>81</v>
      </c>
      <c r="F63" s="58"/>
      <c r="G63" s="57"/>
      <c r="H63" s="69"/>
      <c r="I63" s="57"/>
      <c r="J63" s="73">
        <v>8</v>
      </c>
      <c r="K63" s="57">
        <f t="shared" si="1"/>
        <v>648</v>
      </c>
      <c r="L63" s="69">
        <v>10</v>
      </c>
      <c r="M63" s="57">
        <f t="shared" si="2"/>
        <v>810</v>
      </c>
      <c r="N63" s="69">
        <v>1</v>
      </c>
      <c r="O63" s="77">
        <f t="shared" si="3"/>
        <v>81</v>
      </c>
      <c r="P63" s="69"/>
      <c r="Q63" s="83">
        <v>0</v>
      </c>
      <c r="R63" s="69">
        <v>0</v>
      </c>
      <c r="S63" s="77">
        <f t="shared" si="4"/>
        <v>0</v>
      </c>
      <c r="T63" s="69">
        <v>0</v>
      </c>
      <c r="U63" s="77">
        <f t="shared" si="5"/>
        <v>0</v>
      </c>
      <c r="V63" s="69">
        <v>2</v>
      </c>
      <c r="W63" s="116">
        <v>162</v>
      </c>
      <c r="X63" s="69">
        <v>16</v>
      </c>
      <c r="Y63" s="116">
        <f t="shared" si="6"/>
        <v>1296</v>
      </c>
      <c r="Z63" s="69">
        <v>4</v>
      </c>
      <c r="AA63" s="116">
        <v>324</v>
      </c>
      <c r="AB63" s="69">
        <v>4</v>
      </c>
      <c r="AC63" s="77">
        <f t="shared" si="7"/>
        <v>324</v>
      </c>
      <c r="AD63" s="69">
        <v>8</v>
      </c>
      <c r="AE63" s="70">
        <f t="shared" si="8"/>
        <v>648</v>
      </c>
      <c r="AF63" s="81">
        <v>6</v>
      </c>
      <c r="AG63" s="222">
        <v>486</v>
      </c>
      <c r="AH63" s="81"/>
      <c r="AI63" s="223">
        <f t="shared" si="9"/>
        <v>0</v>
      </c>
      <c r="AL63" s="71"/>
    </row>
    <row r="64" spans="1:38" x14ac:dyDescent="0.3">
      <c r="A64" s="7" t="s">
        <v>115</v>
      </c>
      <c r="B64" s="4" t="s">
        <v>117</v>
      </c>
      <c r="C64" s="4" t="s">
        <v>135</v>
      </c>
      <c r="D64" s="5" t="s">
        <v>103</v>
      </c>
      <c r="E64" s="160">
        <v>81</v>
      </c>
      <c r="F64" s="58">
        <v>3</v>
      </c>
      <c r="G64" s="57">
        <f t="shared" si="10"/>
        <v>243</v>
      </c>
      <c r="H64" s="69">
        <v>3</v>
      </c>
      <c r="I64" s="57">
        <v>243</v>
      </c>
      <c r="J64" s="73">
        <v>3</v>
      </c>
      <c r="K64" s="57">
        <f t="shared" si="1"/>
        <v>243</v>
      </c>
      <c r="L64" s="69">
        <v>3</v>
      </c>
      <c r="M64" s="57">
        <f t="shared" si="2"/>
        <v>243</v>
      </c>
      <c r="N64" s="69">
        <v>9</v>
      </c>
      <c r="O64" s="77">
        <f t="shared" si="3"/>
        <v>729</v>
      </c>
      <c r="P64" s="69">
        <v>2</v>
      </c>
      <c r="Q64" s="83">
        <v>162</v>
      </c>
      <c r="R64" s="69">
        <v>4</v>
      </c>
      <c r="S64" s="77">
        <f t="shared" si="4"/>
        <v>324</v>
      </c>
      <c r="T64" s="69">
        <v>4</v>
      </c>
      <c r="U64" s="77">
        <f t="shared" si="5"/>
        <v>324</v>
      </c>
      <c r="V64" s="69">
        <v>0</v>
      </c>
      <c r="W64" s="116">
        <v>0</v>
      </c>
      <c r="X64" s="69">
        <v>0</v>
      </c>
      <c r="Y64" s="116">
        <f t="shared" si="6"/>
        <v>0</v>
      </c>
      <c r="Z64" s="69">
        <v>0</v>
      </c>
      <c r="AA64" s="116">
        <v>0</v>
      </c>
      <c r="AB64" s="69">
        <v>0</v>
      </c>
      <c r="AC64" s="77">
        <f t="shared" si="7"/>
        <v>0</v>
      </c>
      <c r="AD64" s="69">
        <v>0</v>
      </c>
      <c r="AE64" s="70">
        <f t="shared" si="8"/>
        <v>0</v>
      </c>
      <c r="AF64" s="81">
        <v>0</v>
      </c>
      <c r="AG64" s="222">
        <v>0</v>
      </c>
      <c r="AH64" s="81"/>
      <c r="AI64" s="223">
        <f t="shared" si="9"/>
        <v>0</v>
      </c>
      <c r="AL64" s="71"/>
    </row>
    <row r="65" spans="1:38" x14ac:dyDescent="0.3">
      <c r="A65" s="7" t="s">
        <v>190</v>
      </c>
      <c r="B65" s="4" t="s">
        <v>4</v>
      </c>
      <c r="C65" s="4" t="s">
        <v>135</v>
      </c>
      <c r="D65" s="5" t="s">
        <v>191</v>
      </c>
      <c r="E65" s="160">
        <v>102</v>
      </c>
      <c r="F65" s="58"/>
      <c r="G65" s="57"/>
      <c r="H65" s="69"/>
      <c r="I65" s="57"/>
      <c r="J65" s="73"/>
      <c r="K65" s="57"/>
      <c r="L65" s="69"/>
      <c r="M65" s="57"/>
      <c r="N65" s="69"/>
      <c r="O65" s="77"/>
      <c r="P65" s="69"/>
      <c r="Q65" s="83"/>
      <c r="R65" s="69"/>
      <c r="S65" s="77"/>
      <c r="T65" s="69">
        <v>10</v>
      </c>
      <c r="U65" s="77">
        <f t="shared" si="5"/>
        <v>1020</v>
      </c>
      <c r="V65" s="69">
        <v>0</v>
      </c>
      <c r="W65" s="116">
        <v>0</v>
      </c>
      <c r="X65" s="69">
        <v>0</v>
      </c>
      <c r="Y65" s="116">
        <f t="shared" si="6"/>
        <v>0</v>
      </c>
      <c r="Z65" s="69">
        <v>0</v>
      </c>
      <c r="AA65" s="116">
        <v>0</v>
      </c>
      <c r="AB65" s="69">
        <v>0</v>
      </c>
      <c r="AC65" s="77">
        <f t="shared" si="7"/>
        <v>0</v>
      </c>
      <c r="AD65" s="69">
        <v>0</v>
      </c>
      <c r="AE65" s="70">
        <f t="shared" si="8"/>
        <v>0</v>
      </c>
      <c r="AF65" s="81">
        <v>0</v>
      </c>
      <c r="AG65" s="222">
        <v>0</v>
      </c>
      <c r="AH65" s="81"/>
      <c r="AI65" s="223">
        <f t="shared" si="9"/>
        <v>0</v>
      </c>
      <c r="AL65" s="71"/>
    </row>
    <row r="66" spans="1:38" x14ac:dyDescent="0.3">
      <c r="A66" s="7" t="s">
        <v>188</v>
      </c>
      <c r="B66" s="4" t="s">
        <v>4</v>
      </c>
      <c r="C66" s="147" t="s">
        <v>187</v>
      </c>
      <c r="D66" s="121" t="s">
        <v>3</v>
      </c>
      <c r="E66" s="160">
        <v>140</v>
      </c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>
        <v>2</v>
      </c>
      <c r="Q66" s="84">
        <v>280</v>
      </c>
      <c r="R66" s="81">
        <v>2</v>
      </c>
      <c r="S66" s="77">
        <f t="shared" si="4"/>
        <v>280</v>
      </c>
      <c r="T66" s="81">
        <v>2</v>
      </c>
      <c r="U66" s="77">
        <f t="shared" si="5"/>
        <v>280</v>
      </c>
      <c r="V66" s="81">
        <v>2</v>
      </c>
      <c r="W66" s="118">
        <v>280</v>
      </c>
      <c r="X66" s="81">
        <v>2</v>
      </c>
      <c r="Y66" s="116">
        <f t="shared" si="6"/>
        <v>280</v>
      </c>
      <c r="Z66" s="81">
        <v>2</v>
      </c>
      <c r="AA66" s="116">
        <v>280</v>
      </c>
      <c r="AB66" s="81">
        <v>0</v>
      </c>
      <c r="AC66" s="77">
        <f t="shared" si="7"/>
        <v>0</v>
      </c>
      <c r="AD66" s="81">
        <v>2</v>
      </c>
      <c r="AE66" s="70">
        <f t="shared" si="8"/>
        <v>280</v>
      </c>
      <c r="AF66" s="81">
        <v>1</v>
      </c>
      <c r="AG66" s="222">
        <v>140</v>
      </c>
      <c r="AH66" s="81"/>
      <c r="AI66" s="223">
        <f t="shared" si="9"/>
        <v>0</v>
      </c>
      <c r="AL66" s="71"/>
    </row>
    <row r="67" spans="1:38" x14ac:dyDescent="0.3">
      <c r="A67" s="7" t="s">
        <v>214</v>
      </c>
      <c r="B67" s="4" t="s">
        <v>141</v>
      </c>
      <c r="C67" s="147" t="s">
        <v>221</v>
      </c>
      <c r="D67" s="121" t="s">
        <v>3</v>
      </c>
      <c r="E67" s="160">
        <v>66.8</v>
      </c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4"/>
      <c r="R67" s="81"/>
      <c r="S67" s="77"/>
      <c r="T67" s="81"/>
      <c r="U67" s="77"/>
      <c r="V67" s="81"/>
      <c r="W67" s="118"/>
      <c r="X67" s="81"/>
      <c r="Y67" s="116"/>
      <c r="Z67" s="81"/>
      <c r="AA67" s="116"/>
      <c r="AB67" s="81"/>
      <c r="AC67" s="77"/>
      <c r="AD67" s="81">
        <v>0</v>
      </c>
      <c r="AE67" s="70">
        <f t="shared" si="8"/>
        <v>0</v>
      </c>
      <c r="AF67" s="81">
        <v>0</v>
      </c>
      <c r="AG67" s="222">
        <v>0</v>
      </c>
      <c r="AH67" s="81"/>
      <c r="AI67" s="223">
        <f t="shared" si="9"/>
        <v>0</v>
      </c>
      <c r="AL67" s="71"/>
    </row>
    <row r="68" spans="1:38" x14ac:dyDescent="0.3">
      <c r="A68" s="7" t="s">
        <v>225</v>
      </c>
      <c r="B68" s="4" t="s">
        <v>15</v>
      </c>
      <c r="C68" s="147" t="s">
        <v>226</v>
      </c>
      <c r="D68" s="121" t="s">
        <v>3</v>
      </c>
      <c r="E68" s="160">
        <v>5.14</v>
      </c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4"/>
      <c r="R68" s="81"/>
      <c r="S68" s="77"/>
      <c r="T68" s="81"/>
      <c r="U68" s="77"/>
      <c r="V68" s="81"/>
      <c r="W68" s="118"/>
      <c r="X68" s="81"/>
      <c r="Y68" s="116"/>
      <c r="Z68" s="81"/>
      <c r="AA68" s="116"/>
      <c r="AB68" s="81"/>
      <c r="AC68" s="77"/>
      <c r="AD68" s="81">
        <v>48</v>
      </c>
      <c r="AE68" s="70">
        <f t="shared" si="8"/>
        <v>246.71999999999997</v>
      </c>
      <c r="AF68" s="81"/>
      <c r="AG68" s="70">
        <v>0</v>
      </c>
      <c r="AH68" s="81"/>
      <c r="AI68" s="189">
        <f t="shared" si="9"/>
        <v>0</v>
      </c>
      <c r="AL68" s="71"/>
    </row>
    <row r="69" spans="1:38" x14ac:dyDescent="0.3">
      <c r="A69" s="7" t="s">
        <v>222</v>
      </c>
      <c r="B69" s="4" t="s">
        <v>15</v>
      </c>
      <c r="C69" s="147" t="s">
        <v>223</v>
      </c>
      <c r="D69" s="121" t="s">
        <v>3</v>
      </c>
      <c r="E69" s="160">
        <v>44.12</v>
      </c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4"/>
      <c r="R69" s="81"/>
      <c r="S69" s="77"/>
      <c r="T69" s="81"/>
      <c r="U69" s="77"/>
      <c r="V69" s="81"/>
      <c r="W69" s="118"/>
      <c r="X69" s="81"/>
      <c r="Y69" s="116"/>
      <c r="Z69" s="81"/>
      <c r="AA69" s="116"/>
      <c r="AB69" s="81"/>
      <c r="AC69" s="77"/>
      <c r="AD69" s="81">
        <v>22</v>
      </c>
      <c r="AE69" s="70">
        <f t="shared" si="8"/>
        <v>970.64</v>
      </c>
      <c r="AF69" s="81">
        <v>22</v>
      </c>
      <c r="AG69" s="70">
        <v>970.64</v>
      </c>
      <c r="AH69" s="81"/>
      <c r="AI69" s="189">
        <f t="shared" ref="AI69:AI70" si="11">AH69*E69</f>
        <v>0</v>
      </c>
      <c r="AL69" s="71"/>
    </row>
    <row r="70" spans="1:38" x14ac:dyDescent="0.3">
      <c r="A70" s="7" t="s">
        <v>257</v>
      </c>
      <c r="B70" s="4" t="s">
        <v>15</v>
      </c>
      <c r="C70" s="147" t="s">
        <v>224</v>
      </c>
      <c r="D70" s="121" t="s">
        <v>3</v>
      </c>
      <c r="E70" s="160">
        <v>144.56</v>
      </c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4"/>
      <c r="R70" s="81"/>
      <c r="S70" s="77"/>
      <c r="T70" s="81"/>
      <c r="U70" s="77"/>
      <c r="V70" s="81"/>
      <c r="W70" s="118"/>
      <c r="X70" s="81"/>
      <c r="Y70" s="116"/>
      <c r="Z70" s="81"/>
      <c r="AA70" s="116"/>
      <c r="AB70" s="81"/>
      <c r="AC70" s="77"/>
      <c r="AD70" s="81">
        <v>5</v>
      </c>
      <c r="AE70" s="70">
        <f t="shared" si="8"/>
        <v>722.8</v>
      </c>
      <c r="AF70" s="81">
        <v>5</v>
      </c>
      <c r="AG70" s="70">
        <v>722.8</v>
      </c>
      <c r="AH70" s="81"/>
      <c r="AI70" s="189">
        <f t="shared" si="11"/>
        <v>0</v>
      </c>
      <c r="AL70" s="71"/>
    </row>
    <row r="71" spans="1:38" x14ac:dyDescent="0.3">
      <c r="A71" s="10" t="s">
        <v>31</v>
      </c>
      <c r="W71" s="119"/>
      <c r="X71" s="119"/>
      <c r="Y71" s="119"/>
      <c r="Z71" s="119"/>
      <c r="AA71" s="119"/>
      <c r="AE71" s="71"/>
      <c r="AF71" s="71"/>
      <c r="AG71" s="71"/>
      <c r="AI71" s="190"/>
    </row>
    <row r="72" spans="1:38" x14ac:dyDescent="0.3">
      <c r="G72" s="56">
        <f>SUBTOTAL(9,G3:G64)</f>
        <v>134493.69294117647</v>
      </c>
      <c r="H72" s="68"/>
      <c r="I72" s="56">
        <f>SUBTOTAL(9,I3:I64)</f>
        <v>136038.72323529411</v>
      </c>
      <c r="J72" s="68"/>
      <c r="K72" s="56">
        <f>SUBTOTAL(9,K3:K64)</f>
        <v>125692.62470588234</v>
      </c>
      <c r="L72" s="68"/>
      <c r="M72" s="68">
        <f>SUM(M3:M71)</f>
        <v>114756.21647058823</v>
      </c>
      <c r="O72" s="78">
        <f>SUM(O3:O71)</f>
        <v>108533.60941176472</v>
      </c>
      <c r="Q72" s="86">
        <f>SUM(Q3:Q71)</f>
        <v>113023.93764705883</v>
      </c>
      <c r="S72" s="78">
        <f>SUM(S3:S71)</f>
        <v>89279.121764705895</v>
      </c>
      <c r="T72" s="78"/>
      <c r="U72" s="94">
        <f>SUM(U3:U71)</f>
        <v>103779.47470588234</v>
      </c>
      <c r="W72" s="120">
        <f>SUM(W3:W71)</f>
        <v>99853.510000000009</v>
      </c>
      <c r="X72" s="120"/>
      <c r="Y72" s="123">
        <f>SUM(Y3:Y71)</f>
        <v>111075.09647058821</v>
      </c>
      <c r="Z72" s="123"/>
      <c r="AA72" s="123">
        <f>SUM(AA3:AA71)</f>
        <v>90845.800588235288</v>
      </c>
      <c r="AC72" s="78">
        <f>SUM(AC3:AC71)</f>
        <v>106376.57117647056</v>
      </c>
      <c r="AE72" s="56">
        <f>SUBTOTAL(9,AE3:AE71)</f>
        <v>104846.21970588235</v>
      </c>
      <c r="AF72" s="68"/>
      <c r="AG72" s="68">
        <f>SUM(AG3:AG71)</f>
        <v>84956.584705882357</v>
      </c>
      <c r="AI72" s="191">
        <f>SUBTOTAL(9,AI3:AI71)</f>
        <v>452535.6875</v>
      </c>
    </row>
    <row r="73" spans="1:38" x14ac:dyDescent="0.3">
      <c r="AG73">
        <v>84957</v>
      </c>
    </row>
    <row r="74" spans="1:38" x14ac:dyDescent="0.3">
      <c r="F74" s="30"/>
      <c r="AG74" s="52">
        <f>+AG72-AG73</f>
        <v>-0.41529411764349788</v>
      </c>
    </row>
    <row r="75" spans="1:38" x14ac:dyDescent="0.3">
      <c r="A75" s="7" t="s">
        <v>258</v>
      </c>
      <c r="B75" s="4" t="s">
        <v>260</v>
      </c>
      <c r="C75" s="147" t="s">
        <v>261</v>
      </c>
      <c r="D75" s="121" t="s">
        <v>262</v>
      </c>
      <c r="E75" s="59">
        <v>1.23</v>
      </c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4"/>
      <c r="R75" s="81"/>
      <c r="S75" s="77"/>
      <c r="T75" s="81"/>
      <c r="U75" s="77"/>
      <c r="V75" s="81"/>
      <c r="W75" s="118"/>
      <c r="X75" s="81"/>
      <c r="Y75" s="116"/>
      <c r="Z75" s="81"/>
      <c r="AA75" s="116"/>
      <c r="AB75" s="81"/>
      <c r="AC75" s="77"/>
      <c r="AD75" s="81">
        <v>6440</v>
      </c>
      <c r="AE75" s="70">
        <f>SUM(AD75*E75)</f>
        <v>7921.2</v>
      </c>
      <c r="AF75" s="70"/>
      <c r="AG75" s="70"/>
      <c r="AH75" s="70">
        <f>SUM(AE75*F75)</f>
        <v>0</v>
      </c>
      <c r="AI75" s="70">
        <f>SUM(AH75*E75)</f>
        <v>0</v>
      </c>
    </row>
    <row r="76" spans="1:38" x14ac:dyDescent="0.3">
      <c r="A76" s="7" t="s">
        <v>259</v>
      </c>
      <c r="B76" s="4" t="s">
        <v>260</v>
      </c>
      <c r="C76" s="4" t="s">
        <v>261</v>
      </c>
      <c r="D76" s="5" t="s">
        <v>262</v>
      </c>
      <c r="E76" s="59">
        <v>0.96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4"/>
      <c r="R76" s="81"/>
      <c r="S76" s="77"/>
      <c r="T76" s="81"/>
      <c r="U76" s="77"/>
      <c r="V76" s="81"/>
      <c r="W76" s="118"/>
      <c r="X76" s="81"/>
      <c r="Y76" s="116"/>
      <c r="Z76" s="81"/>
      <c r="AA76" s="116"/>
      <c r="AB76" s="81"/>
      <c r="AC76" s="77"/>
      <c r="AD76" s="81">
        <v>1760</v>
      </c>
      <c r="AE76" s="70">
        <f>SUM(AD76*E76)</f>
        <v>1689.6</v>
      </c>
      <c r="AF76" s="70"/>
      <c r="AG76" s="70"/>
      <c r="AH76" s="70">
        <f>SUM(AE76*F76)</f>
        <v>0</v>
      </c>
      <c r="AI76" s="70">
        <f>SUM(AH76*E76)</f>
        <v>0</v>
      </c>
    </row>
  </sheetData>
  <autoFilter ref="A2:AE71" xr:uid="{D60DCDEA-AD97-EB44-B680-9F9F45047EF2}"/>
  <mergeCells count="5">
    <mergeCell ref="J1:K1"/>
    <mergeCell ref="F1:G1"/>
    <mergeCell ref="L1:M1"/>
    <mergeCell ref="AD1:AE1"/>
    <mergeCell ref="AH1:AI1"/>
  </mergeCells>
  <phoneticPr fontId="6" type="noConversion"/>
  <pageMargins left="0.7" right="0.7" top="0.75" bottom="0.75" header="0.3" footer="0.3"/>
  <pageSetup paperSize="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AEC1-BE7B-F643-831D-86DDE6B35B75}">
  <dimension ref="A1:M45"/>
  <sheetViews>
    <sheetView topLeftCell="A25" zoomScale="130" zoomScaleNormal="130" workbookViewId="0">
      <selection activeCell="E32" sqref="E32"/>
    </sheetView>
  </sheetViews>
  <sheetFormatPr defaultColWidth="11.19921875" defaultRowHeight="15.6" x14ac:dyDescent="0.3"/>
  <cols>
    <col min="1" max="1" width="11.69921875" bestFit="1" customWidth="1"/>
    <col min="2" max="2" width="11.69921875" customWidth="1"/>
    <col min="4" max="4" width="11.59765625" customWidth="1"/>
    <col min="7" max="7" width="11.09765625" customWidth="1"/>
    <col min="8" max="8" width="18.5" bestFit="1" customWidth="1"/>
    <col min="10" max="10" width="18.5" customWidth="1"/>
  </cols>
  <sheetData>
    <row r="1" spans="1:13" ht="16.2" customHeight="1" x14ac:dyDescent="0.3">
      <c r="C1" s="198" t="s">
        <v>142</v>
      </c>
      <c r="D1" s="199"/>
      <c r="E1" s="199"/>
      <c r="F1" s="200"/>
      <c r="G1" s="198" t="s">
        <v>143</v>
      </c>
      <c r="H1" s="199"/>
      <c r="I1" s="199"/>
      <c r="J1" s="200"/>
      <c r="K1" s="198" t="s">
        <v>40</v>
      </c>
      <c r="L1" s="199"/>
      <c r="M1" s="200"/>
    </row>
    <row r="2" spans="1:13" x14ac:dyDescent="0.3">
      <c r="C2" s="45" t="s">
        <v>144</v>
      </c>
      <c r="D2" s="46" t="s">
        <v>145</v>
      </c>
      <c r="E2" s="46" t="s">
        <v>146</v>
      </c>
      <c r="F2" s="47" t="s">
        <v>147</v>
      </c>
      <c r="G2" s="45" t="s">
        <v>144</v>
      </c>
      <c r="H2" s="46" t="s">
        <v>145</v>
      </c>
      <c r="I2" s="46" t="s">
        <v>146</v>
      </c>
      <c r="J2" s="47" t="s">
        <v>147</v>
      </c>
      <c r="K2" s="45" t="s">
        <v>279</v>
      </c>
      <c r="L2" s="46" t="s">
        <v>278</v>
      </c>
      <c r="M2" s="47" t="s">
        <v>147</v>
      </c>
    </row>
    <row r="3" spans="1:13" ht="16.2" thickBot="1" x14ac:dyDescent="0.35">
      <c r="C3" s="186">
        <f>M14</f>
        <v>150000</v>
      </c>
      <c r="D3" s="187">
        <f>+E38</f>
        <v>2500</v>
      </c>
      <c r="E3" s="187">
        <f>E23</f>
        <v>187.5</v>
      </c>
      <c r="F3" s="188">
        <f>(C3*1.5)+(D3)+E3</f>
        <v>227687.5</v>
      </c>
      <c r="G3" s="186">
        <f>M15</f>
        <v>75000</v>
      </c>
      <c r="H3" s="187">
        <f>+H38</f>
        <v>2500</v>
      </c>
      <c r="I3" s="187">
        <f>H23</f>
        <v>200</v>
      </c>
      <c r="J3" s="188">
        <f>(G3*1.5)+(H3)+I3</f>
        <v>115200</v>
      </c>
      <c r="K3" s="186"/>
      <c r="L3" s="187">
        <f>+K38</f>
        <v>2000</v>
      </c>
      <c r="M3" s="188">
        <f>K3+L3</f>
        <v>2000</v>
      </c>
    </row>
    <row r="4" spans="1:13" ht="16.2" thickBot="1" x14ac:dyDescent="0.35"/>
    <row r="5" spans="1:13" ht="15.75" customHeight="1" thickBot="1" x14ac:dyDescent="0.35">
      <c r="A5" s="201" t="s">
        <v>277</v>
      </c>
      <c r="B5" s="199"/>
      <c r="C5" s="206"/>
      <c r="D5" s="199"/>
      <c r="E5" s="199"/>
      <c r="F5" s="102"/>
      <c r="G5" s="102"/>
      <c r="H5" s="103"/>
    </row>
    <row r="6" spans="1:13" ht="15.75" customHeight="1" thickBot="1" x14ac:dyDescent="0.35">
      <c r="A6" s="202"/>
      <c r="B6" s="203"/>
      <c r="C6" s="232" t="s">
        <v>152</v>
      </c>
      <c r="D6" s="233"/>
      <c r="E6" s="234"/>
      <c r="F6" s="232" t="s">
        <v>151</v>
      </c>
      <c r="G6" s="233"/>
      <c r="H6" s="234"/>
    </row>
    <row r="7" spans="1:13" s="209" customFormat="1" ht="31.8" thickBot="1" x14ac:dyDescent="0.35">
      <c r="A7" s="207" t="s">
        <v>285</v>
      </c>
      <c r="B7" s="208"/>
      <c r="C7" s="210" t="s">
        <v>282</v>
      </c>
      <c r="D7" s="210" t="s">
        <v>283</v>
      </c>
      <c r="E7" s="213" t="s">
        <v>280</v>
      </c>
      <c r="F7" s="210" t="s">
        <v>282</v>
      </c>
      <c r="G7" s="210" t="s">
        <v>283</v>
      </c>
      <c r="H7" s="213" t="s">
        <v>264</v>
      </c>
    </row>
    <row r="8" spans="1:13" x14ac:dyDescent="0.3">
      <c r="A8" s="204" t="s">
        <v>230</v>
      </c>
      <c r="B8" s="205" t="s">
        <v>256</v>
      </c>
      <c r="C8" s="211"/>
      <c r="D8" s="212">
        <v>250</v>
      </c>
      <c r="E8" s="214">
        <f>+C8*D8</f>
        <v>0</v>
      </c>
      <c r="F8" s="211"/>
      <c r="G8" s="212">
        <v>250</v>
      </c>
      <c r="H8" s="214">
        <f>+F8*G8</f>
        <v>0</v>
      </c>
    </row>
    <row r="9" spans="1:13" x14ac:dyDescent="0.3">
      <c r="A9" s="170" t="s">
        <v>231</v>
      </c>
      <c r="B9" s="149" t="s">
        <v>256</v>
      </c>
      <c r="C9" s="211">
        <v>0.75</v>
      </c>
      <c r="D9" s="212">
        <v>250</v>
      </c>
      <c r="E9" s="214">
        <f t="shared" ref="E9:E22" si="0">+C9*D9</f>
        <v>187.5</v>
      </c>
      <c r="F9" s="211"/>
      <c r="G9" s="212">
        <v>250</v>
      </c>
      <c r="H9" s="214">
        <f t="shared" ref="H9:H22" si="1">+F9*G9</f>
        <v>0</v>
      </c>
    </row>
    <row r="10" spans="1:13" x14ac:dyDescent="0.3">
      <c r="A10" s="170" t="s">
        <v>275</v>
      </c>
      <c r="B10" s="149" t="s">
        <v>256</v>
      </c>
      <c r="C10" s="211"/>
      <c r="D10" s="212">
        <v>250</v>
      </c>
      <c r="E10" s="214">
        <f t="shared" si="0"/>
        <v>0</v>
      </c>
      <c r="F10" s="211"/>
      <c r="G10" s="212">
        <v>250</v>
      </c>
      <c r="H10" s="214">
        <f t="shared" si="1"/>
        <v>0</v>
      </c>
    </row>
    <row r="11" spans="1:13" ht="16.2" thickBot="1" x14ac:dyDescent="0.35">
      <c r="A11" s="170" t="s">
        <v>232</v>
      </c>
      <c r="B11" s="149" t="s">
        <v>237</v>
      </c>
      <c r="C11" s="211"/>
      <c r="D11" s="212">
        <v>250</v>
      </c>
      <c r="E11" s="214">
        <f t="shared" si="0"/>
        <v>0</v>
      </c>
      <c r="F11" s="211">
        <v>0.8</v>
      </c>
      <c r="G11" s="212">
        <v>250</v>
      </c>
      <c r="H11" s="214">
        <f t="shared" si="1"/>
        <v>200</v>
      </c>
    </row>
    <row r="12" spans="1:13" x14ac:dyDescent="0.3">
      <c r="A12" s="170" t="s">
        <v>234</v>
      </c>
      <c r="B12" s="149" t="s">
        <v>237</v>
      </c>
      <c r="C12" s="211"/>
      <c r="D12" s="212">
        <v>250</v>
      </c>
      <c r="E12" s="214">
        <f t="shared" si="0"/>
        <v>0</v>
      </c>
      <c r="F12" s="211"/>
      <c r="G12" s="212">
        <v>250</v>
      </c>
      <c r="H12" s="214">
        <f t="shared" si="1"/>
        <v>0</v>
      </c>
      <c r="J12" s="195" t="s">
        <v>268</v>
      </c>
      <c r="K12" s="196"/>
      <c r="L12" s="197"/>
      <c r="M12" s="197"/>
    </row>
    <row r="13" spans="1:13" x14ac:dyDescent="0.3">
      <c r="A13" s="173" t="s">
        <v>235</v>
      </c>
      <c r="B13" s="150" t="s">
        <v>237</v>
      </c>
      <c r="C13" s="211"/>
      <c r="D13" s="212">
        <v>250</v>
      </c>
      <c r="E13" s="214">
        <f t="shared" si="0"/>
        <v>0</v>
      </c>
      <c r="F13" s="211"/>
      <c r="G13" s="212">
        <v>250</v>
      </c>
      <c r="H13" s="214">
        <f t="shared" si="1"/>
        <v>0</v>
      </c>
      <c r="J13" s="164" t="s">
        <v>2</v>
      </c>
      <c r="K13" s="163" t="s">
        <v>145</v>
      </c>
      <c r="L13" s="165" t="s">
        <v>284</v>
      </c>
      <c r="M13" s="165" t="s">
        <v>280</v>
      </c>
    </row>
    <row r="14" spans="1:13" x14ac:dyDescent="0.3">
      <c r="A14" s="170" t="s">
        <v>239</v>
      </c>
      <c r="B14" s="148" t="s">
        <v>244</v>
      </c>
      <c r="C14" s="211"/>
      <c r="D14" s="212">
        <v>250</v>
      </c>
      <c r="E14" s="214">
        <f t="shared" si="0"/>
        <v>0</v>
      </c>
      <c r="F14" s="211"/>
      <c r="G14" s="212">
        <v>250</v>
      </c>
      <c r="H14" s="214">
        <f t="shared" si="1"/>
        <v>0</v>
      </c>
      <c r="J14" s="34" t="s">
        <v>152</v>
      </c>
      <c r="K14" s="162">
        <v>6000</v>
      </c>
      <c r="L14" s="181">
        <v>25</v>
      </c>
      <c r="M14" s="181">
        <f>+K14*L14</f>
        <v>150000</v>
      </c>
    </row>
    <row r="15" spans="1:13" x14ac:dyDescent="0.3">
      <c r="A15" s="170" t="s">
        <v>240</v>
      </c>
      <c r="B15" s="149" t="s">
        <v>245</v>
      </c>
      <c r="C15" s="211"/>
      <c r="D15" s="212">
        <v>250</v>
      </c>
      <c r="E15" s="214">
        <f t="shared" si="0"/>
        <v>0</v>
      </c>
      <c r="F15" s="211"/>
      <c r="G15" s="212">
        <v>250</v>
      </c>
      <c r="H15" s="214">
        <f t="shared" si="1"/>
        <v>0</v>
      </c>
      <c r="J15" s="34" t="s">
        <v>151</v>
      </c>
      <c r="K15" s="151">
        <v>3000</v>
      </c>
      <c r="L15" s="181">
        <v>25</v>
      </c>
      <c r="M15" s="181">
        <f t="shared" ref="M15:M20" si="2">+K15*L15</f>
        <v>75000</v>
      </c>
    </row>
    <row r="16" spans="1:13" x14ac:dyDescent="0.3">
      <c r="A16" s="170" t="s">
        <v>241</v>
      </c>
      <c r="B16" s="149" t="s">
        <v>246</v>
      </c>
      <c r="C16" s="211"/>
      <c r="D16" s="212">
        <v>250</v>
      </c>
      <c r="E16" s="214">
        <f t="shared" si="0"/>
        <v>0</v>
      </c>
      <c r="F16" s="211"/>
      <c r="G16" s="212">
        <v>250</v>
      </c>
      <c r="H16" s="214">
        <f t="shared" si="1"/>
        <v>0</v>
      </c>
      <c r="J16" s="34" t="s">
        <v>269</v>
      </c>
      <c r="K16" s="151">
        <v>2500</v>
      </c>
      <c r="L16" s="181">
        <v>25</v>
      </c>
      <c r="M16" s="181">
        <f t="shared" si="2"/>
        <v>62500</v>
      </c>
    </row>
    <row r="17" spans="1:13" x14ac:dyDescent="0.3">
      <c r="A17" s="173" t="s">
        <v>242</v>
      </c>
      <c r="B17" s="149" t="s">
        <v>247</v>
      </c>
      <c r="C17" s="211"/>
      <c r="D17" s="212">
        <v>250</v>
      </c>
      <c r="E17" s="214">
        <f t="shared" si="0"/>
        <v>0</v>
      </c>
      <c r="F17" s="211"/>
      <c r="G17" s="212">
        <v>250</v>
      </c>
      <c r="H17" s="214">
        <f t="shared" si="1"/>
        <v>0</v>
      </c>
      <c r="J17" s="34" t="s">
        <v>270</v>
      </c>
      <c r="K17" s="151">
        <v>3000</v>
      </c>
      <c r="L17" s="181">
        <v>25</v>
      </c>
      <c r="M17" s="181">
        <f t="shared" si="2"/>
        <v>75000</v>
      </c>
    </row>
    <row r="18" spans="1:13" x14ac:dyDescent="0.3">
      <c r="A18" s="170" t="s">
        <v>243</v>
      </c>
      <c r="B18" s="149" t="s">
        <v>248</v>
      </c>
      <c r="C18" s="211"/>
      <c r="D18" s="212">
        <v>250</v>
      </c>
      <c r="E18" s="214">
        <f t="shared" si="0"/>
        <v>0</v>
      </c>
      <c r="F18" s="211"/>
      <c r="G18" s="212">
        <v>250</v>
      </c>
      <c r="H18" s="214">
        <f t="shared" si="1"/>
        <v>0</v>
      </c>
      <c r="J18" s="34" t="s">
        <v>271</v>
      </c>
      <c r="K18" s="151">
        <v>100</v>
      </c>
      <c r="L18" s="181">
        <v>25</v>
      </c>
      <c r="M18" s="181">
        <f t="shared" si="2"/>
        <v>2500</v>
      </c>
    </row>
    <row r="19" spans="1:13" x14ac:dyDescent="0.3">
      <c r="A19" s="170" t="s">
        <v>249</v>
      </c>
      <c r="B19" s="149" t="s">
        <v>267</v>
      </c>
      <c r="C19" s="211"/>
      <c r="D19" s="212">
        <v>250</v>
      </c>
      <c r="E19" s="214">
        <f t="shared" si="0"/>
        <v>0</v>
      </c>
      <c r="F19" s="211"/>
      <c r="G19" s="212">
        <v>250</v>
      </c>
      <c r="H19" s="214">
        <f t="shared" si="1"/>
        <v>0</v>
      </c>
      <c r="J19" s="34" t="s">
        <v>272</v>
      </c>
      <c r="K19" s="151">
        <v>100</v>
      </c>
      <c r="L19" s="181">
        <v>25</v>
      </c>
      <c r="M19" s="181">
        <f t="shared" si="2"/>
        <v>2500</v>
      </c>
    </row>
    <row r="20" spans="1:13" ht="16.2" thickBot="1" x14ac:dyDescent="0.35">
      <c r="A20" s="174" t="s">
        <v>250</v>
      </c>
      <c r="B20" s="149" t="s">
        <v>252</v>
      </c>
      <c r="C20" s="211"/>
      <c r="D20" s="212">
        <v>250</v>
      </c>
      <c r="E20" s="214">
        <f t="shared" si="0"/>
        <v>0</v>
      </c>
      <c r="F20" s="211"/>
      <c r="G20" s="212">
        <v>250</v>
      </c>
      <c r="H20" s="214">
        <f t="shared" si="1"/>
        <v>0</v>
      </c>
      <c r="J20" s="36" t="s">
        <v>273</v>
      </c>
      <c r="K20" s="166">
        <v>100</v>
      </c>
      <c r="L20" s="216">
        <v>20</v>
      </c>
      <c r="M20" s="216">
        <f t="shared" si="2"/>
        <v>2000</v>
      </c>
    </row>
    <row r="21" spans="1:13" x14ac:dyDescent="0.3">
      <c r="A21" s="173" t="s">
        <v>251</v>
      </c>
      <c r="B21" s="149" t="s">
        <v>253</v>
      </c>
      <c r="C21" s="211"/>
      <c r="D21" s="212">
        <v>250</v>
      </c>
      <c r="E21" s="214">
        <f t="shared" si="0"/>
        <v>0</v>
      </c>
      <c r="F21" s="211"/>
      <c r="G21" s="212">
        <v>250</v>
      </c>
      <c r="H21" s="214">
        <f t="shared" si="1"/>
        <v>0</v>
      </c>
    </row>
    <row r="22" spans="1:13" ht="16.2" thickBot="1" x14ac:dyDescent="0.35">
      <c r="A22" s="179" t="s">
        <v>236</v>
      </c>
      <c r="B22" s="172" t="s">
        <v>238</v>
      </c>
      <c r="C22" s="211"/>
      <c r="D22" s="212">
        <v>250</v>
      </c>
      <c r="E22" s="214">
        <f t="shared" si="0"/>
        <v>0</v>
      </c>
      <c r="F22" s="211"/>
      <c r="G22" s="212">
        <v>250</v>
      </c>
      <c r="H22" s="214">
        <f t="shared" si="1"/>
        <v>0</v>
      </c>
    </row>
    <row r="23" spans="1:13" ht="24.75" customHeight="1" thickBot="1" x14ac:dyDescent="0.35">
      <c r="A23" s="180"/>
      <c r="B23" s="176" t="s">
        <v>147</v>
      </c>
      <c r="C23" s="37"/>
      <c r="D23" s="37"/>
      <c r="E23" s="215">
        <f>SUM(E8:E22)</f>
        <v>187.5</v>
      </c>
      <c r="F23" s="37"/>
      <c r="G23" s="37"/>
      <c r="H23" s="215">
        <f>SUM(H8:H22)</f>
        <v>200</v>
      </c>
    </row>
    <row r="24" spans="1:13" ht="16.2" thickBot="1" x14ac:dyDescent="0.35"/>
    <row r="25" spans="1:13" ht="16.2" thickBot="1" x14ac:dyDescent="0.35">
      <c r="A25" s="175" t="s">
        <v>145</v>
      </c>
      <c r="B25" s="176"/>
      <c r="C25" s="177" t="s">
        <v>152</v>
      </c>
      <c r="D25" s="177" t="s">
        <v>286</v>
      </c>
      <c r="E25" s="177" t="s">
        <v>280</v>
      </c>
      <c r="F25" s="177" t="s">
        <v>151</v>
      </c>
      <c r="G25" s="177" t="s">
        <v>286</v>
      </c>
      <c r="H25" s="177" t="s">
        <v>280</v>
      </c>
      <c r="I25" s="177" t="s">
        <v>40</v>
      </c>
      <c r="J25" s="177" t="s">
        <v>286</v>
      </c>
      <c r="K25" s="178" t="s">
        <v>280</v>
      </c>
    </row>
    <row r="26" spans="1:13" ht="16.2" thickBot="1" x14ac:dyDescent="0.35">
      <c r="A26" s="170" t="s">
        <v>276</v>
      </c>
      <c r="B26" s="149" t="s">
        <v>256</v>
      </c>
      <c r="C26" s="142"/>
      <c r="D26" s="219">
        <v>25</v>
      </c>
      <c r="E26" s="219">
        <f>+C26*D26</f>
        <v>0</v>
      </c>
      <c r="F26" s="220"/>
      <c r="G26">
        <v>25</v>
      </c>
      <c r="H26" s="182">
        <f>+F26*G26</f>
        <v>0</v>
      </c>
      <c r="I26" s="142"/>
      <c r="J26">
        <v>20</v>
      </c>
      <c r="K26" s="182">
        <f>+I26*J26</f>
        <v>0</v>
      </c>
    </row>
    <row r="27" spans="1:13" ht="16.2" thickBot="1" x14ac:dyDescent="0.35">
      <c r="A27" s="170" t="s">
        <v>231</v>
      </c>
      <c r="B27" s="149" t="s">
        <v>256</v>
      </c>
      <c r="C27" s="142"/>
      <c r="D27" s="219">
        <v>25</v>
      </c>
      <c r="E27" s="219">
        <f t="shared" ref="E27:E37" si="3">+C27*D27</f>
        <v>0</v>
      </c>
      <c r="F27" s="220"/>
      <c r="G27">
        <v>25</v>
      </c>
      <c r="H27" s="182">
        <f t="shared" ref="H27:H37" si="4">+F27*G27</f>
        <v>0</v>
      </c>
      <c r="I27" s="142"/>
      <c r="J27">
        <v>20</v>
      </c>
      <c r="K27" s="182">
        <f t="shared" ref="K27:K37" si="5">+I27*J27</f>
        <v>0</v>
      </c>
    </row>
    <row r="28" spans="1:13" ht="16.2" thickBot="1" x14ac:dyDescent="0.35">
      <c r="A28" s="170" t="s">
        <v>275</v>
      </c>
      <c r="B28" s="149" t="s">
        <v>256</v>
      </c>
      <c r="C28" s="142"/>
      <c r="D28" s="219">
        <v>25</v>
      </c>
      <c r="E28" s="219">
        <f t="shared" si="3"/>
        <v>0</v>
      </c>
      <c r="F28" s="220"/>
      <c r="G28">
        <v>25</v>
      </c>
      <c r="H28" s="182">
        <f t="shared" si="4"/>
        <v>0</v>
      </c>
      <c r="I28" s="142"/>
      <c r="J28">
        <v>20</v>
      </c>
      <c r="K28" s="182">
        <f t="shared" si="5"/>
        <v>0</v>
      </c>
    </row>
    <row r="29" spans="1:13" ht="16.2" thickBot="1" x14ac:dyDescent="0.35">
      <c r="A29" s="170" t="s">
        <v>239</v>
      </c>
      <c r="B29" s="148" t="s">
        <v>244</v>
      </c>
      <c r="C29" s="142">
        <v>100</v>
      </c>
      <c r="D29" s="219">
        <v>25</v>
      </c>
      <c r="E29" s="219">
        <f t="shared" si="3"/>
        <v>2500</v>
      </c>
      <c r="F29" s="220"/>
      <c r="G29">
        <v>25</v>
      </c>
      <c r="H29" s="182">
        <f t="shared" si="4"/>
        <v>0</v>
      </c>
      <c r="I29" s="142"/>
      <c r="J29">
        <v>20</v>
      </c>
      <c r="K29" s="182">
        <f t="shared" si="5"/>
        <v>0</v>
      </c>
    </row>
    <row r="30" spans="1:13" ht="16.2" thickBot="1" x14ac:dyDescent="0.35">
      <c r="A30" s="170" t="s">
        <v>240</v>
      </c>
      <c r="B30" s="149" t="s">
        <v>245</v>
      </c>
      <c r="C30" s="142"/>
      <c r="D30" s="219">
        <v>25</v>
      </c>
      <c r="E30" s="219">
        <f t="shared" si="3"/>
        <v>0</v>
      </c>
      <c r="F30" s="220"/>
      <c r="G30">
        <v>25</v>
      </c>
      <c r="H30" s="182">
        <f t="shared" si="4"/>
        <v>0</v>
      </c>
      <c r="I30" s="142"/>
      <c r="J30">
        <v>20</v>
      </c>
      <c r="K30" s="182">
        <f t="shared" si="5"/>
        <v>0</v>
      </c>
    </row>
    <row r="31" spans="1:13" ht="16.2" thickBot="1" x14ac:dyDescent="0.35">
      <c r="A31" s="170" t="s">
        <v>241</v>
      </c>
      <c r="B31" s="149" t="s">
        <v>246</v>
      </c>
      <c r="C31" s="142"/>
      <c r="D31" s="219">
        <v>25</v>
      </c>
      <c r="E31" s="219">
        <f t="shared" si="3"/>
        <v>0</v>
      </c>
      <c r="F31" s="220"/>
      <c r="G31">
        <v>25</v>
      </c>
      <c r="H31" s="182">
        <f t="shared" si="4"/>
        <v>0</v>
      </c>
      <c r="I31" s="142"/>
      <c r="J31">
        <v>20</v>
      </c>
      <c r="K31" s="182">
        <f t="shared" si="5"/>
        <v>0</v>
      </c>
    </row>
    <row r="32" spans="1:13" ht="16.2" thickBot="1" x14ac:dyDescent="0.35">
      <c r="A32" s="173" t="s">
        <v>242</v>
      </c>
      <c r="B32" s="149" t="s">
        <v>247</v>
      </c>
      <c r="C32" s="142"/>
      <c r="D32" s="219">
        <v>25</v>
      </c>
      <c r="E32" s="219">
        <f t="shared" si="3"/>
        <v>0</v>
      </c>
      <c r="F32" s="220">
        <v>100</v>
      </c>
      <c r="G32">
        <v>25</v>
      </c>
      <c r="H32" s="182">
        <f t="shared" si="4"/>
        <v>2500</v>
      </c>
      <c r="I32" s="142"/>
      <c r="J32">
        <v>20</v>
      </c>
      <c r="K32" s="182">
        <f t="shared" si="5"/>
        <v>0</v>
      </c>
    </row>
    <row r="33" spans="1:11" ht="16.2" thickBot="1" x14ac:dyDescent="0.35">
      <c r="A33" s="170" t="s">
        <v>243</v>
      </c>
      <c r="B33" s="149" t="s">
        <v>248</v>
      </c>
      <c r="C33" s="142"/>
      <c r="D33" s="219">
        <v>25</v>
      </c>
      <c r="E33" s="219">
        <f t="shared" si="3"/>
        <v>0</v>
      </c>
      <c r="F33" s="220"/>
      <c r="G33">
        <v>25</v>
      </c>
      <c r="H33" s="182">
        <f t="shared" si="4"/>
        <v>0</v>
      </c>
      <c r="I33" s="142">
        <v>100</v>
      </c>
      <c r="J33">
        <v>20</v>
      </c>
      <c r="K33" s="182">
        <f t="shared" si="5"/>
        <v>2000</v>
      </c>
    </row>
    <row r="34" spans="1:11" ht="16.2" thickBot="1" x14ac:dyDescent="0.35">
      <c r="A34" s="170" t="s">
        <v>249</v>
      </c>
      <c r="B34" s="149" t="s">
        <v>267</v>
      </c>
      <c r="C34" s="142"/>
      <c r="D34" s="219">
        <v>25</v>
      </c>
      <c r="E34" s="219">
        <f t="shared" si="3"/>
        <v>0</v>
      </c>
      <c r="F34" s="220"/>
      <c r="G34">
        <v>25</v>
      </c>
      <c r="H34" s="182">
        <f t="shared" si="4"/>
        <v>0</v>
      </c>
      <c r="I34" s="142"/>
      <c r="J34">
        <v>20</v>
      </c>
      <c r="K34" s="182">
        <f t="shared" si="5"/>
        <v>0</v>
      </c>
    </row>
    <row r="35" spans="1:11" ht="16.2" thickBot="1" x14ac:dyDescent="0.35">
      <c r="A35" s="174" t="s">
        <v>250</v>
      </c>
      <c r="B35" s="149" t="s">
        <v>252</v>
      </c>
      <c r="C35" s="142"/>
      <c r="D35" s="219">
        <v>25</v>
      </c>
      <c r="E35" s="219">
        <f t="shared" si="3"/>
        <v>0</v>
      </c>
      <c r="F35" s="220"/>
      <c r="G35">
        <v>25</v>
      </c>
      <c r="H35" s="182">
        <f t="shared" si="4"/>
        <v>0</v>
      </c>
      <c r="I35" s="142"/>
      <c r="J35">
        <v>20</v>
      </c>
      <c r="K35" s="182">
        <f t="shared" si="5"/>
        <v>0</v>
      </c>
    </row>
    <row r="36" spans="1:11" ht="16.2" thickBot="1" x14ac:dyDescent="0.35">
      <c r="A36" s="173" t="s">
        <v>251</v>
      </c>
      <c r="B36" s="149" t="s">
        <v>253</v>
      </c>
      <c r="C36" s="142"/>
      <c r="D36" s="219">
        <v>25</v>
      </c>
      <c r="E36" s="219">
        <f t="shared" si="3"/>
        <v>0</v>
      </c>
      <c r="F36" s="220"/>
      <c r="G36">
        <v>25</v>
      </c>
      <c r="H36" s="182">
        <f t="shared" si="4"/>
        <v>0</v>
      </c>
      <c r="I36" s="142"/>
      <c r="J36">
        <v>20</v>
      </c>
      <c r="K36" s="182">
        <f t="shared" si="5"/>
        <v>0</v>
      </c>
    </row>
    <row r="37" spans="1:11" ht="16.2" thickBot="1" x14ac:dyDescent="0.35">
      <c r="A37" s="173" t="s">
        <v>236</v>
      </c>
      <c r="B37" s="149" t="s">
        <v>238</v>
      </c>
      <c r="C37" s="142"/>
      <c r="D37" s="219">
        <v>25</v>
      </c>
      <c r="E37" s="219">
        <f t="shared" si="3"/>
        <v>0</v>
      </c>
      <c r="F37" s="220"/>
      <c r="G37">
        <v>25</v>
      </c>
      <c r="H37" s="182">
        <f t="shared" si="4"/>
        <v>0</v>
      </c>
      <c r="I37" s="142"/>
      <c r="J37">
        <v>20</v>
      </c>
      <c r="K37" s="182">
        <f t="shared" si="5"/>
        <v>0</v>
      </c>
    </row>
    <row r="38" spans="1:11" ht="16.2" thickBot="1" x14ac:dyDescent="0.35">
      <c r="A38" s="36"/>
      <c r="B38" s="37"/>
      <c r="C38" s="37"/>
      <c r="D38" s="218"/>
      <c r="E38" s="217">
        <f>SUM(E25:E37)</f>
        <v>2500</v>
      </c>
      <c r="F38" s="37"/>
      <c r="G38" s="218"/>
      <c r="H38" s="183">
        <f>SUM(H25:H37)</f>
        <v>2500</v>
      </c>
      <c r="I38" s="37"/>
      <c r="J38" s="218"/>
      <c r="K38" s="183">
        <f>SUM(K25:K37)</f>
        <v>2000</v>
      </c>
    </row>
    <row r="40" spans="1:11" ht="16.2" thickBot="1" x14ac:dyDescent="0.35"/>
    <row r="41" spans="1:11" ht="16.2" thickBot="1" x14ac:dyDescent="0.35">
      <c r="A41" s="167" t="s">
        <v>227</v>
      </c>
      <c r="B41" s="168" t="s">
        <v>255</v>
      </c>
      <c r="C41" s="169">
        <v>0.5</v>
      </c>
      <c r="D41" s="185">
        <f>250*C41</f>
        <v>125</v>
      </c>
      <c r="E41" s="214">
        <f t="shared" ref="E41:E42" si="6">+C41*D41</f>
        <v>62.5</v>
      </c>
      <c r="F41">
        <v>25</v>
      </c>
      <c r="G41" s="185">
        <f>+E41*F41</f>
        <v>1562.5</v>
      </c>
    </row>
    <row r="42" spans="1:11" x14ac:dyDescent="0.3">
      <c r="A42" s="170" t="s">
        <v>228</v>
      </c>
      <c r="B42" s="149" t="s">
        <v>254</v>
      </c>
      <c r="C42" s="139">
        <v>0.5</v>
      </c>
      <c r="D42" s="182">
        <f>250*C42</f>
        <v>125</v>
      </c>
      <c r="E42" s="214">
        <f t="shared" si="6"/>
        <v>62.5</v>
      </c>
      <c r="F42">
        <v>25</v>
      </c>
      <c r="G42" s="185">
        <f>+E42*F42</f>
        <v>1562.5</v>
      </c>
    </row>
    <row r="43" spans="1:11" ht="16.2" thickBot="1" x14ac:dyDescent="0.35">
      <c r="A43" s="171" t="s">
        <v>229</v>
      </c>
      <c r="B43" s="172" t="s">
        <v>233</v>
      </c>
      <c r="C43" s="231">
        <v>1</v>
      </c>
      <c r="D43" s="230"/>
      <c r="E43" s="166">
        <f>+D43*C43</f>
        <v>0</v>
      </c>
      <c r="G43" s="184"/>
    </row>
    <row r="44" spans="1:11" ht="23.4" x14ac:dyDescent="0.45">
      <c r="B44" s="157"/>
      <c r="C44" s="157"/>
      <c r="D44" s="157"/>
    </row>
    <row r="45" spans="1:11" ht="23.4" x14ac:dyDescent="0.45">
      <c r="A45" s="157" t="s">
        <v>274</v>
      </c>
      <c r="C45" s="157"/>
      <c r="D45" s="157"/>
    </row>
  </sheetData>
  <mergeCells count="2">
    <mergeCell ref="C6:E6"/>
    <mergeCell ref="F6:H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Dublin</vt:lpstr>
      <vt:lpstr>Clonmel </vt:lpstr>
      <vt:lpstr>Clonmel Trucks &amp; Yard</vt:lpstr>
      <vt:lpstr>Dublin!Print_Area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Andy Mcloughlin</cp:lastModifiedBy>
  <cp:lastPrinted>2026-08-31T15:41:23Z</cp:lastPrinted>
  <dcterms:created xsi:type="dcterms:W3CDTF">2022-10-31T19:30:49Z</dcterms:created>
  <dcterms:modified xsi:type="dcterms:W3CDTF">2026-09-01T12:06:04Z</dcterms:modified>
</cp:coreProperties>
</file>